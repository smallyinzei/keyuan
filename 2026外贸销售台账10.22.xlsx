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2" windowHeight="8055" firstSheet="2" activeTab="3"/>
  </bookViews>
  <sheets>
    <sheet name="高科对内" sheetId="1" r:id="rId1"/>
    <sheet name="高科对外" sheetId="2" r:id="rId2"/>
    <sheet name="高科收款" sheetId="5" r:id="rId3"/>
    <sheet name="高科出库" sheetId="8" r:id="rId4"/>
    <sheet name="生物" sheetId="3" r:id="rId5"/>
    <sheet name="生物收款" sheetId="6" r:id="rId6"/>
    <sheet name="生物出库" sheetId="10" r:id="rId7"/>
    <sheet name="长科" sheetId="4" r:id="rId8"/>
    <sheet name="长科收款" sheetId="7" r:id="rId9"/>
    <sheet name="长科出库" sheetId="9" r:id="rId10"/>
  </sheets>
  <definedNames>
    <definedName name="_xlnm._FilterDatabase" localSheetId="0" hidden="1">高科对内!$A$1:$Y$73</definedName>
    <definedName name="_xlnm._FilterDatabase" localSheetId="1" hidden="1">高科对外!$A$1:$AI$58</definedName>
    <definedName name="_xlnm._FilterDatabase" localSheetId="2" hidden="1">高科收款!$A$1:$G$155</definedName>
    <definedName name="_xlnm._FilterDatabase" localSheetId="3" hidden="1">高科出库!$A$1:$K$508</definedName>
    <definedName name="_xlnm._FilterDatabase" localSheetId="4" hidden="1">生物!$A$1:$AG$64</definedName>
    <definedName name="_xlnm._FilterDatabase" localSheetId="5" hidden="1">生物收款!$C$1:$C$43</definedName>
    <definedName name="_xlnm._FilterDatabase" localSheetId="6" hidden="1">生物出库!$D$1:$D$108</definedName>
    <definedName name="_xlnm._FilterDatabase" localSheetId="7" hidden="1">长科!$A$1:$AH$104</definedName>
    <definedName name="_xlnm._FilterDatabase" localSheetId="8" hidden="1">长科收款!$A$1:$F$93</definedName>
    <definedName name="_xlnm._FilterDatabase" localSheetId="9" hidden="1">长科出库!$A$1:$K$338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陈诺</author>
  </authors>
  <commentList>
    <comment ref="L8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欧元 69835
</t>
        </r>
      </text>
    </comment>
    <comment ref="H37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1765欧元/吨</t>
        </r>
      </text>
    </comment>
    <comment ref="I37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€67,776</t>
        </r>
      </text>
    </comment>
  </commentList>
</comments>
</file>

<file path=xl/comments2.xml><?xml version="1.0" encoding="utf-8"?>
<comments xmlns="http://schemas.openxmlformats.org/spreadsheetml/2006/main">
  <authors>
    <author>陈诺</author>
  </authors>
  <commentList>
    <comment ref="D72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20332.8欧元</t>
        </r>
      </text>
    </comment>
  </commentList>
</comments>
</file>

<file path=xl/comments3.xml><?xml version="1.0" encoding="utf-8"?>
<comments xmlns="http://schemas.openxmlformats.org/spreadsheetml/2006/main">
  <authors>
    <author>陈诺</author>
  </authors>
  <commentList>
    <comment ref="H48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合同单价：💲1160</t>
        </r>
      </text>
    </comment>
    <comment ref="I48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合同金额：💲31900
合同总金额：💲63800</t>
        </r>
      </text>
    </comment>
  </commentList>
</comments>
</file>

<file path=xl/comments4.xml><?xml version="1.0" encoding="utf-8"?>
<comments xmlns="http://schemas.openxmlformats.org/spreadsheetml/2006/main">
  <authors>
    <author>陈诺</author>
  </authors>
  <commentList>
    <comment ref="H60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合同单价：💲1305.909</t>
        </r>
      </text>
    </comment>
    <comment ref="I60" authorId="0">
      <text>
        <r>
          <rPr>
            <b/>
            <sz val="9"/>
            <rFont val="宋体"/>
            <charset val="134"/>
          </rPr>
          <t>陈诺:</t>
        </r>
        <r>
          <rPr>
            <sz val="9"/>
            <rFont val="宋体"/>
            <charset val="134"/>
          </rPr>
          <t xml:space="preserve">
合同金额：💲35912.5
总金额：💲107737.5
</t>
        </r>
      </text>
    </comment>
  </commentList>
</comments>
</file>

<file path=xl/sharedStrings.xml><?xml version="1.0" encoding="utf-8"?>
<sst xmlns="http://schemas.openxmlformats.org/spreadsheetml/2006/main" count="8610" uniqueCount="1714">
  <si>
    <t>销售员</t>
  </si>
  <si>
    <t>付款方式</t>
  </si>
  <si>
    <t>运费</t>
  </si>
  <si>
    <t>单位名称</t>
  </si>
  <si>
    <t>合同号</t>
  </si>
  <si>
    <t>合同有效期</t>
  </si>
  <si>
    <t>产品规格</t>
  </si>
  <si>
    <t>合同量</t>
  </si>
  <si>
    <t>销售单价</t>
  </si>
  <si>
    <t>销售金额</t>
  </si>
  <si>
    <t>实际出库</t>
  </si>
  <si>
    <t>未发量</t>
  </si>
  <si>
    <t>到款金额</t>
  </si>
  <si>
    <t>余款</t>
  </si>
  <si>
    <t>应收款</t>
  </si>
  <si>
    <t>出厂价</t>
  </si>
  <si>
    <t>指导价</t>
  </si>
  <si>
    <t>合同总金额￥</t>
  </si>
  <si>
    <t>包装</t>
  </si>
  <si>
    <t>托盘</t>
  </si>
  <si>
    <t>缠绕膜</t>
  </si>
  <si>
    <t>扎带</t>
  </si>
  <si>
    <t>卡扣</t>
  </si>
  <si>
    <t>吨袋</t>
  </si>
  <si>
    <t>绑带</t>
  </si>
  <si>
    <t>毛晓翔</t>
  </si>
  <si>
    <t>本周35%预付，下周付款45%，本月底之前付清全款。</t>
  </si>
  <si>
    <t>自提</t>
  </si>
  <si>
    <t>浙江五合进出口有限公司</t>
  </si>
  <si>
    <t>CHDN-20260312-106</t>
  </si>
  <si>
    <t>CH301</t>
  </si>
  <si>
    <t>560kg/包，吨袋包装。</t>
  </si>
  <si>
    <t>款到发货</t>
  </si>
  <si>
    <t>上海穗广贸易有限公司</t>
  </si>
  <si>
    <t>CHDN-20260313-111</t>
  </si>
  <si>
    <t>CH520</t>
  </si>
  <si>
    <t>15kg/包散装，1*40HQ.</t>
  </si>
  <si>
    <t>张晓敏</t>
  </si>
  <si>
    <t>100%预付</t>
  </si>
  <si>
    <t>送到</t>
  </si>
  <si>
    <t>CHDN-20260319-133</t>
  </si>
  <si>
    <t>CH332</t>
  </si>
  <si>
    <t>小包散装</t>
  </si>
  <si>
    <t>苏州名创新材料有限公司</t>
  </si>
  <si>
    <t>CHDN-20260323-160</t>
  </si>
  <si>
    <t>CH510</t>
  </si>
  <si>
    <t>15kg/包散装</t>
  </si>
  <si>
    <t>CH506</t>
  </si>
  <si>
    <t>昆山九子莲汽车隔音材料有限公司</t>
  </si>
  <si>
    <t>CHDN-20260324-177</t>
  </si>
  <si>
    <t>20%定金2026年4月10日之前付款，分批发货到7月底，发货前对应数量付全款，定金最后一批发货抵扣。</t>
  </si>
  <si>
    <t>CHDN-20260325-180</t>
  </si>
  <si>
    <t>600kg/包，吨袋包装，其中一半带托盘，19.2吨/柜</t>
  </si>
  <si>
    <t>CHDN-20260401-201</t>
  </si>
  <si>
    <t>240kg/包，吨袋包装</t>
  </si>
  <si>
    <t>200(小尺寸）</t>
  </si>
  <si>
    <t>20%定金，提货前全款。</t>
  </si>
  <si>
    <t>宁波方觉科技有限公司</t>
  </si>
  <si>
    <t>CHDN-20260408-214</t>
  </si>
  <si>
    <t>CHDN-20260511-234</t>
  </si>
  <si>
    <t>20kg/包散装</t>
  </si>
  <si>
    <t>宁波澜塑新材料有限公司</t>
  </si>
  <si>
    <t>CHDN-20260513-237</t>
  </si>
  <si>
    <t>小包散货包装</t>
  </si>
  <si>
    <t>CH608</t>
  </si>
  <si>
    <t>全款承兑支付。</t>
  </si>
  <si>
    <t>金华穗广</t>
  </si>
  <si>
    <t>CHDN-20260517-243</t>
  </si>
  <si>
    <t>20kg小包带托盘</t>
  </si>
  <si>
    <t>100%全款预付</t>
  </si>
  <si>
    <t>CHDN-20260601-273</t>
  </si>
  <si>
    <t>220kg/包，吨袋包装</t>
  </si>
  <si>
    <t>全款承兑支付</t>
  </si>
  <si>
    <t>CHDN-20260601-274</t>
  </si>
  <si>
    <t>CHDN-20260610-293</t>
  </si>
  <si>
    <t>全款预付</t>
  </si>
  <si>
    <t>宁海赤欣电器有限公司</t>
  </si>
  <si>
    <t>CHDN-20260612-301</t>
  </si>
  <si>
    <t>CHDN-20260615-304</t>
  </si>
  <si>
    <t>打3托，其中2托40包 ，1 托15包</t>
  </si>
  <si>
    <t>陕西杰艾恩特贸易有限公司</t>
  </si>
  <si>
    <t>CHDN-20260616-305</t>
  </si>
  <si>
    <t>20kg 散货包装</t>
  </si>
  <si>
    <t>CHDN-20260629-344</t>
  </si>
  <si>
    <t>CHDN-20260706-361</t>
  </si>
  <si>
    <t>临沂天佑地毯有限公司</t>
  </si>
  <si>
    <t>CHDN-20260707-366</t>
  </si>
  <si>
    <t>CHDN-20260708-371</t>
  </si>
  <si>
    <t>青岛玖盈化工有限公司</t>
  </si>
  <si>
    <t>CHDN-20260709-382</t>
  </si>
  <si>
    <t>CHDN-20260713-398</t>
  </si>
  <si>
    <t>600公斤吨袋</t>
  </si>
  <si>
    <t>CHDN-20260714-403</t>
  </si>
  <si>
    <t>杭州塑合新材料有限公司</t>
  </si>
  <si>
    <t>CHDN-20260717-429</t>
  </si>
  <si>
    <t>CHDN-20260722-450</t>
  </si>
  <si>
    <t>金华烯谷新材料有限公司</t>
  </si>
  <si>
    <t>CHDN-20260723-458</t>
  </si>
  <si>
    <t>CHDN-20260723-460</t>
  </si>
  <si>
    <t>220kg/包；需324个小尺寸吨袋，单价46元/个</t>
  </si>
  <si>
    <t>CHDN-20260724-461</t>
  </si>
  <si>
    <t>无锡市中捷诚化工有限公司</t>
  </si>
  <si>
    <t>CHDN-20260728-472</t>
  </si>
  <si>
    <t>CHDN-20260731-479</t>
  </si>
  <si>
    <t>20kg/包，散货</t>
  </si>
  <si>
    <t>CHDN-20260805-492</t>
  </si>
  <si>
    <t>CHDN-20260810-515</t>
  </si>
  <si>
    <t>CHDN-20260812-522</t>
  </si>
  <si>
    <t>CHDN-20260812-523</t>
  </si>
  <si>
    <t>15kg/包，托盘包装</t>
  </si>
  <si>
    <t>600公斤一包（一托2包）</t>
  </si>
  <si>
    <t>CHDN-20260818-542</t>
  </si>
  <si>
    <t>2吨袋 装1个托盘</t>
  </si>
  <si>
    <t>CHDN-20260828-582</t>
  </si>
  <si>
    <t>CHDN-20260902-600</t>
  </si>
  <si>
    <t>CHDN-20260904-611</t>
  </si>
  <si>
    <t>CHDN-20260904-612</t>
  </si>
  <si>
    <t>20kg/包，托盘包装</t>
  </si>
  <si>
    <t>CHDN-20260904-613</t>
  </si>
  <si>
    <t>CHDN-20260909-630</t>
  </si>
  <si>
    <t>CHDN-20260910-633</t>
  </si>
  <si>
    <t>CH601</t>
  </si>
  <si>
    <t>CHDN-20260914-641</t>
  </si>
  <si>
    <t>CHDN-20260921-664</t>
  </si>
  <si>
    <t>CHDN-20260922-666</t>
  </si>
  <si>
    <t>CHDN-20260928-671</t>
  </si>
  <si>
    <t>CHDN-20260928-674</t>
  </si>
  <si>
    <t>20公斤小包打托</t>
  </si>
  <si>
    <t>CHDN-20260928-675</t>
  </si>
  <si>
    <t>15公斤小包散装</t>
  </si>
  <si>
    <t>CHDN-20261009-701</t>
  </si>
  <si>
    <t>CHDN-20261010-708</t>
  </si>
  <si>
    <t>CHDN-20261010-709</t>
  </si>
  <si>
    <t>CHDN-20261014-730</t>
  </si>
  <si>
    <t>CHDN-20261019-746</t>
  </si>
  <si>
    <t>CHDN-20261019-747</t>
  </si>
  <si>
    <t>CHDN-20261019-748</t>
  </si>
  <si>
    <t>CHDN-20261021-769</t>
  </si>
  <si>
    <t>佣金</t>
  </si>
  <si>
    <t>佣金总金额</t>
  </si>
  <si>
    <t>审批汇率</t>
  </si>
  <si>
    <t>运输条款</t>
  </si>
  <si>
    <t>目的港</t>
  </si>
  <si>
    <t>审批海运费</t>
  </si>
  <si>
    <t>审批保费</t>
  </si>
  <si>
    <t>审批内陆费</t>
  </si>
  <si>
    <t>实际海运费</t>
  </si>
  <si>
    <t>托盘数量</t>
  </si>
  <si>
    <t>备注</t>
  </si>
  <si>
    <t>开票</t>
  </si>
  <si>
    <t>杨玉赏</t>
  </si>
  <si>
    <t>50/50TT</t>
  </si>
  <si>
    <t>INABATA SINGAPORE (PTE.) LTD.</t>
  </si>
  <si>
    <t>CHDW-20260408-017</t>
  </si>
  <si>
    <t>15KG小包散装</t>
  </si>
  <si>
    <t>CIF</t>
  </si>
  <si>
    <t>IZMIR</t>
  </si>
  <si>
    <t>CHDW-20260409-018</t>
  </si>
  <si>
    <t>30/80TT</t>
  </si>
  <si>
    <t>EMAAR SQUARE GENERAL TRADING &amp; CONT.CO</t>
  </si>
  <si>
    <t>CHDW-20260105-001</t>
  </si>
  <si>
    <t>20kg带托盘</t>
  </si>
  <si>
    <t>科威特Shuwaikh港</t>
  </si>
  <si>
    <t>0.8吨不执行</t>
  </si>
  <si>
    <t>20/80TT</t>
  </si>
  <si>
    <t>LSMCHEM GLOBAL PTE. LTD.</t>
  </si>
  <si>
    <t>CHDW-20260108-002</t>
  </si>
  <si>
    <t>600kg带托盘</t>
  </si>
  <si>
    <t>EXW</t>
  </si>
  <si>
    <t>FACTORY</t>
  </si>
  <si>
    <t>RIYING INTERNATIONAL TRADING COMPANY LIMITED</t>
  </si>
  <si>
    <t>CHDW-20260113-003</t>
  </si>
  <si>
    <t>18.75吨不执行</t>
  </si>
  <si>
    <t>30/70TT</t>
  </si>
  <si>
    <t>CHDW-20260116-004</t>
  </si>
  <si>
    <t>15kg散装</t>
  </si>
  <si>
    <t>Garant-PP LTD</t>
  </si>
  <si>
    <t>CHDW-20260305-005</t>
  </si>
  <si>
    <t>600kg吨袋 托盘包装</t>
  </si>
  <si>
    <t>保加利亚Burgas</t>
  </si>
  <si>
    <t>20kg/包 托盘包装</t>
  </si>
  <si>
    <t>CHDW-20260305-006</t>
  </si>
  <si>
    <t>600kg 吨袋托盘包装</t>
  </si>
  <si>
    <t>100TT</t>
  </si>
  <si>
    <t>CHDW-20260306-007</t>
  </si>
  <si>
    <t>15KG小包托盘</t>
  </si>
  <si>
    <t>GEBZE</t>
  </si>
  <si>
    <t>CHDW-20260312-008</t>
  </si>
  <si>
    <t>CHINA UNICHEM HOLDINGS PTE LTD</t>
  </si>
  <si>
    <t>CHDW-20260316-009</t>
  </si>
  <si>
    <t>FOB</t>
  </si>
  <si>
    <t>NINGBO</t>
  </si>
  <si>
    <t>CHDW-20260318-010</t>
  </si>
  <si>
    <t>陈诺</t>
  </si>
  <si>
    <t>Rare International Corp.</t>
  </si>
  <si>
    <t>CHDW-20260320-011</t>
  </si>
  <si>
    <t>CH265</t>
  </si>
  <si>
    <t>30KG小包散装</t>
  </si>
  <si>
    <t>Ho Chi Minh</t>
  </si>
  <si>
    <t>CHDW-20260323-012</t>
  </si>
  <si>
    <t>CHITTAGONG</t>
  </si>
  <si>
    <t>陶莹</t>
  </si>
  <si>
    <t>WWRC Korea Co.,Ltd</t>
  </si>
  <si>
    <t>CHDW-20260326-013</t>
  </si>
  <si>
    <t>560kg/吨包带托盘</t>
  </si>
  <si>
    <t>BUSAN</t>
  </si>
  <si>
    <t>PALMETTO ADHESIVES COMPANY</t>
  </si>
  <si>
    <t>CHDW-20260330-014</t>
  </si>
  <si>
    <t>Charleston</t>
  </si>
  <si>
    <t>CHDW-20260402-015</t>
  </si>
  <si>
    <t>SOPREMA LTDA</t>
  </si>
  <si>
    <t>CHDW-20260407-016</t>
  </si>
  <si>
    <t>SANTOS</t>
  </si>
  <si>
    <t>CHDW-20260414-019</t>
  </si>
  <si>
    <t>CHDW-20260414-020</t>
  </si>
  <si>
    <t>CH406</t>
  </si>
  <si>
    <t>20kg/包托盘</t>
  </si>
  <si>
    <t>TAICHUNG</t>
  </si>
  <si>
    <t>CHDW-20260420-021</t>
  </si>
  <si>
    <t>CHDW-20260509-022</t>
  </si>
  <si>
    <t>DONGJU M&amp;TCORPORATION</t>
  </si>
  <si>
    <t>CHDW-20260519-023</t>
  </si>
  <si>
    <t>25kg小包托盘</t>
  </si>
  <si>
    <t>CHDW-20260519-024</t>
  </si>
  <si>
    <t>560kg吨袋</t>
  </si>
  <si>
    <t>CH302</t>
  </si>
  <si>
    <t>W CHEM KOREA</t>
  </si>
  <si>
    <t>CHDW-20260528-025</t>
  </si>
  <si>
    <t>CHDW-20260603-026</t>
  </si>
  <si>
    <t>CHDW-20260604-027</t>
  </si>
  <si>
    <t>15kg小包带托盘</t>
  </si>
  <si>
    <t>De Monchy International B.V</t>
  </si>
  <si>
    <t>CHDW-20260605-028</t>
  </si>
  <si>
    <t>CHDW-20260608-029</t>
  </si>
  <si>
    <t>SINGAPORE</t>
  </si>
  <si>
    <t>CHDW-20260608-030</t>
  </si>
  <si>
    <t>CHDW-20260608-031</t>
  </si>
  <si>
    <t>600kg吨袋</t>
  </si>
  <si>
    <t>CHDW-20260702-032</t>
  </si>
  <si>
    <t>CHDW-20260708-033</t>
  </si>
  <si>
    <t>小包托盘</t>
  </si>
  <si>
    <t>CHDW-20260708-034</t>
  </si>
  <si>
    <t>CHDW-20260714-035</t>
  </si>
  <si>
    <t>15kg小包散装</t>
  </si>
  <si>
    <t>IDB DO BRASIL TRADING LTDA</t>
  </si>
  <si>
    <t>CHDW-20260719-036</t>
  </si>
  <si>
    <t>CFR</t>
  </si>
  <si>
    <t>Navegantes</t>
  </si>
  <si>
    <t>CHDW-20260729-037</t>
  </si>
  <si>
    <t>散货包装</t>
  </si>
  <si>
    <t>CHDW-20260807-038</t>
  </si>
  <si>
    <t>CH269</t>
  </si>
  <si>
    <t>CHDW-20260809-039</t>
  </si>
  <si>
    <t>CHDW-20260812-040</t>
  </si>
  <si>
    <t xml:space="preserve"> ISOCHEMICALS KIMYA ANONIM SIRKETI</t>
  </si>
  <si>
    <t>CHDW-20260814-041</t>
  </si>
  <si>
    <t>CHDW-20260819-042</t>
  </si>
  <si>
    <t>15%TT
75%LC120</t>
  </si>
  <si>
    <t>OCEAN THERMOPLASTIC ELASTOMERS PVT LTD</t>
  </si>
  <si>
    <t>CHDW-20260831-043</t>
  </si>
  <si>
    <t>SAMTEC Co., Ltd.</t>
  </si>
  <si>
    <t>CHDW-20260902-044</t>
  </si>
  <si>
    <t>仁川</t>
  </si>
  <si>
    <t>50元</t>
  </si>
  <si>
    <t>CHDW-20260902-045</t>
  </si>
  <si>
    <t>2个吨袋1个托盘包装，480公斤一包</t>
  </si>
  <si>
    <t>CHDW-20260904-046</t>
  </si>
  <si>
    <t>釜山</t>
  </si>
  <si>
    <t>20元</t>
  </si>
  <si>
    <t>CHDW-20260904-047</t>
  </si>
  <si>
    <t>CHDW-20260904-048</t>
  </si>
  <si>
    <t>CHDW-20260914-049</t>
  </si>
  <si>
    <t>2个吨袋1个托盘包装，必须600公斤一包</t>
  </si>
  <si>
    <t>报关费约100元/票,包装成本265元/吨，物产库换包人工费160元/吨（预计换288吨）</t>
  </si>
  <si>
    <t>MIDDLE EAST PLASTIC MARKETING FZE</t>
  </si>
  <si>
    <t>CHDW-20260923-050</t>
  </si>
  <si>
    <t>CHDW-20261014-051</t>
  </si>
  <si>
    <t>CHDW-20261014-052</t>
  </si>
  <si>
    <t>日期</t>
  </si>
  <si>
    <t>客户</t>
  </si>
  <si>
    <t>收款金额</t>
  </si>
  <si>
    <t>TT</t>
  </si>
  <si>
    <t>001 预付</t>
  </si>
  <si>
    <t>002 20%预付</t>
  </si>
  <si>
    <t>002 尾款</t>
  </si>
  <si>
    <t>001 尾款</t>
  </si>
  <si>
    <t>106 货款</t>
  </si>
  <si>
    <t>005 货款</t>
  </si>
  <si>
    <t>009 预付</t>
  </si>
  <si>
    <t>111 货款</t>
  </si>
  <si>
    <t>133 货款</t>
  </si>
  <si>
    <t>160 货款</t>
  </si>
  <si>
    <t>177 货款</t>
  </si>
  <si>
    <t>011 全款</t>
  </si>
  <si>
    <t>012 全款</t>
  </si>
  <si>
    <t>014 全款</t>
  </si>
  <si>
    <t>013 全款</t>
  </si>
  <si>
    <t>214 货款</t>
  </si>
  <si>
    <t>180 货款</t>
  </si>
  <si>
    <t>015 货款</t>
  </si>
  <si>
    <t>020 全款</t>
  </si>
  <si>
    <t>样品费</t>
  </si>
  <si>
    <t>007 全款</t>
  </si>
  <si>
    <t>008 全款</t>
  </si>
  <si>
    <t>019 50%预付款</t>
  </si>
  <si>
    <t>016 30%预付款</t>
  </si>
  <si>
    <t>201 货款</t>
  </si>
  <si>
    <t>273 货款</t>
  </si>
  <si>
    <t>010 全款</t>
  </si>
  <si>
    <t>015   50%尾款</t>
  </si>
  <si>
    <t>234 全款</t>
  </si>
  <si>
    <t>237 全款</t>
  </si>
  <si>
    <t>243 全款</t>
  </si>
  <si>
    <t>024 预付</t>
  </si>
  <si>
    <t>023 货款</t>
  </si>
  <si>
    <t>009 70%尾款</t>
  </si>
  <si>
    <t>019 50%尾款</t>
  </si>
  <si>
    <t>024 货款</t>
  </si>
  <si>
    <t>274 全款</t>
  </si>
  <si>
    <t>016 70%尾款</t>
  </si>
  <si>
    <t>025 全款</t>
  </si>
  <si>
    <t>Inabata</t>
  </si>
  <si>
    <t>022 货款</t>
  </si>
  <si>
    <t>028 全款</t>
  </si>
  <si>
    <t>027 30%预付</t>
  </si>
  <si>
    <t>003部分</t>
  </si>
  <si>
    <t>004+003</t>
  </si>
  <si>
    <t>293 全款</t>
  </si>
  <si>
    <t>004+006</t>
  </si>
  <si>
    <t>031 预付</t>
  </si>
  <si>
    <t>304 全款</t>
  </si>
  <si>
    <t>301 全款</t>
  </si>
  <si>
    <t>006部分</t>
  </si>
  <si>
    <t>305 全款</t>
  </si>
  <si>
    <t>021-1全款</t>
  </si>
  <si>
    <t>344 货款</t>
  </si>
  <si>
    <t>366 全款</t>
  </si>
  <si>
    <t>361全款</t>
  </si>
  <si>
    <t>032 全款</t>
  </si>
  <si>
    <t>100公斤301的样品费+快递费</t>
  </si>
  <si>
    <t>371 货款</t>
  </si>
  <si>
    <t>382 全款</t>
  </si>
  <si>
    <t>403 货款</t>
  </si>
  <si>
    <t>398 货款</t>
  </si>
  <si>
    <t>30% 预付</t>
  </si>
  <si>
    <t>029 全款</t>
  </si>
  <si>
    <t>030 全款</t>
  </si>
  <si>
    <t>429 全款</t>
  </si>
  <si>
    <t>450 全款</t>
  </si>
  <si>
    <t>458 全款</t>
  </si>
  <si>
    <t>479 货款</t>
  </si>
  <si>
    <t>031 尾款</t>
  </si>
  <si>
    <t>024 尾款</t>
  </si>
  <si>
    <t>492 货款</t>
  </si>
  <si>
    <t>033 全款</t>
  </si>
  <si>
    <t>026 全款</t>
  </si>
  <si>
    <t>472 全款</t>
  </si>
  <si>
    <t>515 全款</t>
  </si>
  <si>
    <t>038 全款</t>
  </si>
  <si>
    <t>027 尾款</t>
  </si>
  <si>
    <t>523货款</t>
  </si>
  <si>
    <t>040 尾款</t>
  </si>
  <si>
    <t>038 货款</t>
  </si>
  <si>
    <t>037 30%货款</t>
  </si>
  <si>
    <t>460 全款</t>
  </si>
  <si>
    <t>461 货款</t>
  </si>
  <si>
    <t>522 全款</t>
  </si>
  <si>
    <t>542货款</t>
  </si>
  <si>
    <t>582 全款</t>
  </si>
  <si>
    <t>043 全款</t>
  </si>
  <si>
    <t>600 全款</t>
  </si>
  <si>
    <t>044 全款</t>
  </si>
  <si>
    <t>611 货款</t>
  </si>
  <si>
    <t>046 全款</t>
  </si>
  <si>
    <t>630 全款</t>
  </si>
  <si>
    <t>180 尾款</t>
  </si>
  <si>
    <t>承兑</t>
  </si>
  <si>
    <t>612 货款</t>
  </si>
  <si>
    <t>70% 尾款</t>
  </si>
  <si>
    <t>欧元47443.2</t>
  </si>
  <si>
    <t>641 全款</t>
  </si>
  <si>
    <t>037 部分尾款</t>
  </si>
  <si>
    <t>049 预付</t>
  </si>
  <si>
    <t>70% 尾款( 25 美金手续费)</t>
  </si>
  <si>
    <t>20%预付</t>
  </si>
  <si>
    <t>664 全款</t>
  </si>
  <si>
    <t>613 全款</t>
  </si>
  <si>
    <t>666 全款</t>
  </si>
  <si>
    <t>674 全款</t>
  </si>
  <si>
    <t>675 全款</t>
  </si>
  <si>
    <t>671 全款</t>
  </si>
  <si>
    <t>633 全款</t>
  </si>
  <si>
    <t>039 全款</t>
  </si>
  <si>
    <t>042 全款</t>
  </si>
  <si>
    <t>047 全款</t>
  </si>
  <si>
    <t>701 全款</t>
  </si>
  <si>
    <t>730 全款</t>
  </si>
  <si>
    <t>050 30%预付</t>
  </si>
  <si>
    <t>035 70%尾款</t>
  </si>
  <si>
    <t>049 尾款</t>
  </si>
  <si>
    <t>045 货款</t>
  </si>
  <si>
    <t>051 预付</t>
  </si>
  <si>
    <t>746 全款</t>
  </si>
  <si>
    <t>747 全款</t>
  </si>
  <si>
    <t>708 货款</t>
  </si>
  <si>
    <t>769 全款</t>
  </si>
  <si>
    <t>a</t>
  </si>
  <si>
    <t>发货日期</t>
  </si>
  <si>
    <t>产品型号</t>
  </si>
  <si>
    <t>数量</t>
  </si>
  <si>
    <t>柜型</t>
  </si>
  <si>
    <t>提单号</t>
  </si>
  <si>
    <t>箱封号</t>
  </si>
  <si>
    <t>司机信息</t>
  </si>
  <si>
    <t>货代</t>
  </si>
  <si>
    <t>浙B3Y505</t>
  </si>
  <si>
    <t>LSMCHEM</t>
  </si>
  <si>
    <t>600公斤吨袋,其中24包带托盘扎带</t>
  </si>
  <si>
    <t>苏CkB975
刘彬13291931176
320321197002273219</t>
  </si>
  <si>
    <t>梁俊超： 18868606918          车牌：豫PU1998       
身份证 412728198502094916</t>
  </si>
  <si>
    <t>冀E4943W
黄德占
15227707078
132233197501241736</t>
  </si>
  <si>
    <t>姓名，孙杰 ，
车号 ，皖SB6150，
电话，18067531780 
身份证号341223198008071358</t>
  </si>
  <si>
    <t>车号：鲁Q782EX
姓名  孙振华
电话：18315796333              
身份证：371322198107084933</t>
  </si>
  <si>
    <t>姓名 ，孙杰 ，车号，浙B5P351，电话，18067531780 身份证号，341223198008071358</t>
  </si>
  <si>
    <t>皖SB6150 ，姓名 ，侯升群，电话13858240595     身份证370832196602157052</t>
  </si>
  <si>
    <t>姓名:乔立营
身份证号:371326199307074318
车号:鲁Q608GH
电话:13022792677</t>
  </si>
  <si>
    <t>车号：浙B6T119
箱号: HAMU3347997
司机：鲁坤坤18667867181
身份证：412728198509150319</t>
  </si>
  <si>
    <t>吨袋带托盘包装，标签</t>
  </si>
  <si>
    <t>车牌号：浙B3Q660
电话：15658225828
名字：邵海燕
身份证号码：412702198109106112</t>
  </si>
  <si>
    <t>浙B6T119
18667867181
鲁坤坤
412728198509150319</t>
  </si>
  <si>
    <t>CHDW-20260306-007-1</t>
  </si>
  <si>
    <t>40HQ</t>
  </si>
  <si>
    <t>浙B3L100
司机：严定文
驾驶员手机： 15606686179</t>
  </si>
  <si>
    <t>浙B6C895
司机：陈正春
驾驶员手机：13285843576</t>
  </si>
  <si>
    <t>车号：沪GE8678
司机:陈昌国
电话:13912555475
身份证：32092419760517027</t>
  </si>
  <si>
    <t>车号： 浙B2G755
挂板：         浙B850U挂
司机： 贾新民
驾驶员手机： 18658223296</t>
  </si>
  <si>
    <t>CHDW-20260306-007-2</t>
  </si>
  <si>
    <t>小包带托盘</t>
  </si>
  <si>
    <t>浙B2L600
司机：徐明
驾驶员手机：13685703550</t>
  </si>
  <si>
    <t>浙B5W781
潘宁宁 
341221198409041536
18712565866</t>
  </si>
  <si>
    <t>浙B5Y686
司机：刘传付
驾驶员手机：17606836522</t>
  </si>
  <si>
    <t>15kg散货</t>
  </si>
  <si>
    <t>浙B2S116
15557079966
杜海军
412728198611153452</t>
  </si>
  <si>
    <t>浙B2S069，13525797759..41272819780416329x，叶海岗</t>
  </si>
  <si>
    <t>车号：浙B2L600
司机：徐明
驾驶员手机：13685703550</t>
  </si>
  <si>
    <t>车号：浙B6V880
司机：李奎伍
驾驶员手机：13221935198</t>
  </si>
  <si>
    <t>车号：浙B81F88
司机：付兴海
驾驶员手机：15968926588</t>
  </si>
  <si>
    <t>车号:皖SD3185
司机:王彦山
电话:18752873037
身份证:341281198708206050</t>
  </si>
  <si>
    <t>车号:苏ETD076
司机:谢友江
电话:13812785659
身份证:321323198602222114</t>
  </si>
  <si>
    <t>车号：沪FQ2291
司机：杨会峰
电话:13025032290
身份证：412702197211130616</t>
  </si>
  <si>
    <t>30KG/包，散装</t>
  </si>
  <si>
    <t>车号： 浙B81F88
姓名:付兴海
身份证：341226197712252333
手机: 15968926588</t>
  </si>
  <si>
    <t>车号：浙B1T565
姓名:王辉
身份证：13250939801
手机: 34122619751013673X</t>
  </si>
  <si>
    <t>司机：羊平   
车牌：浙G28PA0    
电话：18248539676    
身份证：510722197506132878</t>
  </si>
  <si>
    <t>车号1：浙B6M365 
车挂：浙BOX09挂
司机： 付彬   
手机：15726830365
身份证   341226199210052330</t>
  </si>
  <si>
    <t>车号2:浙B5P332
电话 18856907101 
名字 蔡自明
身份证 340121198210155513</t>
  </si>
  <si>
    <t>车号：浙B6M365 车挂：浙BOX09挂
司机：付彬
驾驶员手机：15726830365
身份证: 341226199210052330</t>
  </si>
  <si>
    <t>车号：浙B6M333/浙B0Z67挂/
司机：陈保超
驾驶员手机：18606877698
身份证：342128197304151793</t>
  </si>
  <si>
    <t>560公斤一包</t>
  </si>
  <si>
    <t>浙B3D319    
15656199969      
吴志强   
340621198412181219</t>
  </si>
  <si>
    <t>车号： 浙B31260D
司机： 郭堂发
驾驶员手机： 18755056551
司机身份证号： 342324197109181415</t>
  </si>
  <si>
    <t>司机：侯可喜 
电话：17606557345
车号：浙 B7J662
身份证码：370827199508253219</t>
  </si>
  <si>
    <t>司机：江传宝 
电话：15558257272
车号：浙 B3K535
身份证码：370828197910231613</t>
  </si>
  <si>
    <t>司机：李坤 
电话：15657813826
车号：浙 B6G929
身份证码：37082719700329303</t>
  </si>
  <si>
    <t>INABATA SINGAPORE (PTE) LTD</t>
  </si>
  <si>
    <t>浙B2X885 浙B991P挂
司机：胡厚军
驾驶员手机：13956287630
身份证：341004197603280037</t>
  </si>
  <si>
    <t>宁波鹏信国际货运代理有限公司</t>
  </si>
  <si>
    <t>浙B2L600 
司机：徐明 
驾驶员手机： 13685703550
身份证：411526199002021630</t>
  </si>
  <si>
    <t>浙B2H029  浙B168R挂
司机：黄发水
驾驶员手机：13955004691
身份证：341124197812246039</t>
  </si>
  <si>
    <t>浙 B6C895 浙 B911W挂 
司机：陈正春
驾驶员手机：13285843576
身份证号：341226197902182313</t>
  </si>
  <si>
    <t>浙B6M333 浙B0Z67挂
司机：陈保超
驾驶员手机：18606877698
身份证：342128197304151793</t>
  </si>
  <si>
    <t>浙B6V880 浙B1620挂
司机：李奎伍
驾驶员手机：13221935198
身份证号：341126197301116032</t>
  </si>
  <si>
    <t>浙B81F88浙B88VU挂
司机： 付兴海
驾驶员手机：15968926588
身份证号：341226197712252333</t>
  </si>
  <si>
    <t>浙B6M365 浙BOX09挂
司机： 付彬
驾驶员手机：15726830365
身份证号：341226199210052330</t>
  </si>
  <si>
    <t>车号： 浙B7V936
司机： 胡志立
身份证：420684199211061057
驾驶员手机： 18871079034</t>
  </si>
  <si>
    <t>车号： 浙B7V055
司机： 宋兵
驾驶员手机： 18772119281
身份证：420684198602224533</t>
  </si>
  <si>
    <t xml:space="preserve">陕ACE151  
驾驶员：桑晓号15674812694。
 身份证号320722199406205113   </t>
  </si>
  <si>
    <t>车号: 　　　　　浙B3U367
司机: 　　　　　祝国峰
驾驶员手机: 　　18856881859
托架号: 　　　　浙B26X0挂
身份证：341226198112106978</t>
  </si>
  <si>
    <t>司机信息：张飞 176 8198 0222  
车牌号：浙B87D68 浙B81H1挂
身份证号码：341124198609016232</t>
  </si>
  <si>
    <t>司机信息：马东海 177 7500 3337
车牌号：浙B0V711 浙BV002挂
身份证号码341226199104042358</t>
  </si>
  <si>
    <t>司机信息：陈怀国 188 8360 6007  
车牌号：浙B0R006 浙BS076挂  
身份证号码：500101198509068873</t>
  </si>
  <si>
    <t>司机信息：胡祥魁 137 8994 9570
车牌号：浙B1T829 浙B219H挂
身份证号码：420922198204161431</t>
  </si>
  <si>
    <t>司机：张金龙 131 2386 0799
车号：浙 B5A869 浙 B3N79 挂
身份证码：411423198302245012</t>
  </si>
  <si>
    <t>车号:冀J7B116
姓名:姬延刚
身份证：132928197704171819
手机:15933288585</t>
  </si>
  <si>
    <t>车号:鲁V76777
姓名:谢永杰
身份证：370781197608154377
手机:13395366933</t>
  </si>
  <si>
    <t>车号： 浙B6V880
司机： 李奎伍
托架号： 浙B1620挂
驾驶员手机： 13221935198
身份证341126197301116032</t>
  </si>
  <si>
    <t>浙B2W093 五劲 电话18658237182  身份证412724197501120334</t>
  </si>
  <si>
    <t>司机身份证：330227196409180014，
司机：谢金祥，
车牌：浙B6Z323，
电话：13355952746</t>
  </si>
  <si>
    <t>每个柜32包，每2包带一个托盘，扎带缠绕膜包装，每包600公斤</t>
  </si>
  <si>
    <t>车牌：浙B3U538
电话：15924307389
司机身份证：452727198703180010
司机：韦海山</t>
  </si>
  <si>
    <t>浙B1N973~浙B199T挂，手机13157483206姓名赵峰理身份证412728197902206898</t>
  </si>
  <si>
    <t>浙B2W093 电话18658237182  身份证412724197501120334</t>
  </si>
  <si>
    <t>车号： 浙B2M982
司机： 
驾驶员手机： 18658418219
身份证号412728198312223916</t>
  </si>
  <si>
    <t>车号： 浙B6Q691
司机： 
驾驶员手机： 13251090908
身份证号411527198406063513</t>
  </si>
  <si>
    <t>车号： 浙B7V055
司机： 宋兵
驾驶员手机： 18772119281
身份证420684198602224533</t>
  </si>
  <si>
    <t>车号： 浙B7V936
司机： 胡志立
驾驶员手机： 18871079034
司机身份证号： 420684199211061057</t>
  </si>
  <si>
    <t>车号: 　　　　　浙B7V936
司机: 　　　　　胡志立
驾驶员手机: 　　18871079034
司机身份证号: 　420684199211061057</t>
  </si>
  <si>
    <t>车号： 浙B6L757
司机： 孙剑
驾驶员手机： 13736055173
司机身份证号： 340826197006123616</t>
  </si>
  <si>
    <t>车号： 浙B7V055
司机： 宋兵
驾驶员手机： 18772119281
司机身份证号： 420684198602224533</t>
  </si>
  <si>
    <t>车号： 浙B7V055
司机： 宋兵
驾驶员手机： 18772119281 
司机身份证号： 420684198602224533</t>
  </si>
  <si>
    <t>司机信息
车号： 浙B5Q731
司机： 韩明星
驾驶员手机： 15258310973
身份证号：500234199609219576</t>
  </si>
  <si>
    <t>车号： 浙BL9095
司机： 卢军名
驾驶员手机： 13657615688
司机身份证号： 511124198601014453</t>
  </si>
  <si>
    <t xml:space="preserve"> CH520</t>
  </si>
  <si>
    <t>车号：浙B6M333/浙B0Z67挂/
司机： 陈保超
驾驶员手机：18606877698  
身份证342128197304151793</t>
  </si>
  <si>
    <t>车号：浙B5Y686
司机： 刘传付
驾驶员手机：17606836522
身份证42326196503115019</t>
  </si>
  <si>
    <t>车号： 浙B2X611
司机： 张世松
驾驶员手机： 19174433555
身份证  430802197904023810</t>
  </si>
  <si>
    <t>车号： 浙B7M922
司机： 晏鹏
驾驶员手机： 17758235836
司机身份证号：412728199607094714</t>
  </si>
  <si>
    <t>车号： 浙B1L983
司机： 
驾驶员手机： 15258212803
司机身份证号：341226198512281599</t>
  </si>
  <si>
    <t>车号： 浙B6M303
司机： 郭云坤
驾驶员手机： 13250959178
司机身份证号： 341203197912084050</t>
  </si>
  <si>
    <t>车号： 浙B0R172
司机： 张升浪
驾驶员手机： 15074472018
身份证430802197912151230</t>
  </si>
  <si>
    <t>车号： 浙B81F92
司机： 李团伟
驾驶员手机： 15158318294司机身份证号：410482197512061734</t>
  </si>
  <si>
    <t>车号：浙B1N221
司机：赵有海
驾驶员手机：18258703210
司机身份证号：342128196908281113</t>
  </si>
  <si>
    <t>车号:浙B7V936司机:胡志立驾驶员手机:18871079034司机身份证号:420684199211061057</t>
  </si>
  <si>
    <t xml:space="preserve">司机：潘正伟
车牌号：浙B0E956
驾驶员手机：13136326389
370882198801156119
</t>
  </si>
  <si>
    <t>司机：姜开亮
车牌号：浙B3T918
驾驶员手机：13355163788
37082719820116281X</t>
  </si>
  <si>
    <t>姓名:沈小军
电话:13291581198
车号:浙B2Ⅹ627
身份证号：34112519810727721X</t>
  </si>
  <si>
    <t>车号: 浙B6J960
司机: 刘登峰
驾驶员手机:19059868788
司机身份证号412723199207280815</t>
  </si>
  <si>
    <t>车号：浙B33162D
司机：曹明明
驾驶员手机：18658207016
司机身份证号：342501198604076015</t>
  </si>
  <si>
    <t>车号： 浙B5Q132
司机： 谢正华
托架号： 浙B150M挂
驾驶员手机： 13296828339
身份证号码341124197801027017</t>
  </si>
  <si>
    <t>车号： 浙B6M365
司机： 付彬
托架号： 浙BOX09挂
驾驶员手机： 15726830365
身份证 341226199210052330</t>
  </si>
  <si>
    <t>车号： 浙B6C895
司机： 陈正春
托架号： 浙B911W挂
驾驶员手机： 13285843576
身份证号码：341226197902182313</t>
  </si>
  <si>
    <t>车号： 浙B6V880
司机： 李奎伍
托架号： 浙B1620挂
驾驶员手机： 13221935198
身份证号码341126197301116032</t>
  </si>
  <si>
    <t>车号： 浙B81F88
司机： 付兴海
托架号： 浙B88VU挂
驾驶员手机： 15968926588
身份证 341226197712252333</t>
  </si>
  <si>
    <t>浙B3Q660
15658225828
邵海燕
412702198109106112</t>
  </si>
  <si>
    <t>车号: 　　　　　浙B0Z279
司机: 　　　　　岳兵力
驾驶员手机: 　　13598410546
身份证：412822197306125896</t>
  </si>
  <si>
    <t>车号：浙B3M687
司机：崔海赵
驾驶员手机：18969401024</t>
  </si>
  <si>
    <t>数量：20吨，最终以实际装车数据为准
车号：浙B6X299
司机：方远建
驾驶员手机：15728056613</t>
  </si>
  <si>
    <t>车号： 浙B6M653
司机： 王德保
驾驶员手机： 18658202272
身份证：341126198403235715</t>
  </si>
  <si>
    <t>车号： 浙B3M687
司机： 崔海赵
驾驶员手机： 18969401024
身份证：341126198510036711</t>
  </si>
  <si>
    <t>车号： 浙B6L739
司机： 李杰
驾驶员手机： 13646632087
身份证号420624198309251835</t>
  </si>
  <si>
    <t>车号： 浙B6L887
司机： 杨欢
驾驶员手机： 15657867333
司机身份证号：370827198210093211</t>
  </si>
  <si>
    <t>600kg/包，19.2吨/柜</t>
  </si>
  <si>
    <t>浙B2M982    18658418219    程志永412728198312223916</t>
  </si>
  <si>
    <t>600kg/包带托盘，19.2吨/柜</t>
  </si>
  <si>
    <t>车号： 浙B6T282
司机： 鲁红振
驾驶员手机： 15669187038
司机身份证号： 320722198602054530</t>
  </si>
  <si>
    <t xml:space="preserve">车号: 　　　　　浙B6K506
司机: 　　　　　刘兆东
驾驶员手机: 　　18658283020
</t>
  </si>
  <si>
    <t>车号： 浙B6K813
司机： 杨财
驾驶员手机： 15657810103
司机身份证号：510824198009262930</t>
  </si>
  <si>
    <t>车号： 浙B2M982
司机： 程志永
驾驶员手机： 18658418219
司机身份证号：412728198312223916</t>
  </si>
  <si>
    <t>浙B3U039 
13461360321
程文坡
412728199105173439</t>
  </si>
  <si>
    <t>车号： 浙B33162D
司机： 曹明明
驾驶员手机： 18658207016
司机身份证号： 342501198604076015</t>
  </si>
  <si>
    <t>车号： 浙B31609D
司机：  王德贵
驾驶员手机： 18355029188
司机身份证号：342324196502127410</t>
  </si>
  <si>
    <t xml:space="preserve">车号: 　　　　　浙B33195D
司机: 　　　　　王茂海
驾驶员手机: 　　18506565680
司机身份证号: 　 34210119730320761X </t>
  </si>
  <si>
    <t>车号: 　　　　　浙B03018D
司机: 　　　　　王而勤
驾驶员手机: 　　13221917588
司机身份证号: 　341124196503126012</t>
  </si>
  <si>
    <t>浙B2K283  李佳平  15982972366     513022197202254176</t>
  </si>
  <si>
    <t>车号： 浙B3E525
司机： 丁凯
驾驶员手机： 15888125312
司机身份证号：412328197806074213</t>
  </si>
  <si>
    <t>车号： 浙B2N201
司机： 朱晓利
驾驶员手机： 13105570937
司机身份证号：342201197009272416</t>
  </si>
  <si>
    <t>车牌号：浙B3Q660
邵海燕15658225828
412702198109106112</t>
  </si>
  <si>
    <t>车号： 浙B3K218
名字: 钱树标
驾驶员手机： 18858234785
司机身份证号：32062519700412717X</t>
  </si>
  <si>
    <t>220kg/袋</t>
  </si>
  <si>
    <t>车号: 鲁EH8823
姓名:来延鹏
身份证：370523198610094617
手机: 13589438123</t>
  </si>
  <si>
    <t>宁波富邦物流股份有限公司</t>
  </si>
  <si>
    <t>小包托盘包装</t>
  </si>
  <si>
    <t>浙B5W781
潘宁宁 
341221198409041536
18712565866</t>
  </si>
  <si>
    <t>浙B2R529
18601668582
时敬
412702197201206058</t>
  </si>
  <si>
    <t>车号: 　　　　　浙B7V055
司机: 　　　　　宋兵
驾驶员手机: 　　18772119281
司机身份证号: 　420684198602224533</t>
  </si>
  <si>
    <t>车号：浙B88E77
司机：刘录
驾驶员手机：18667829682</t>
  </si>
  <si>
    <t>车号: 浙B2W093
司机: 王劲
驾驶员手机: 8658237182
 身份证412724197501120334</t>
  </si>
  <si>
    <t>车号: 浙B2Q858
司机: 叶先富
驾驶员手机: 13250972768
身份证：413027196902202717</t>
  </si>
  <si>
    <t>康文朗
​342128196605272316
​浙B5J102
​18506557139</t>
  </si>
  <si>
    <t>车牌号:苏BFD580司机:郭海滨
身份证号码:142601197407056836手机号:19103573693</t>
  </si>
  <si>
    <t>车牌号：浙B3Q660- 返趟
电话：15658225828
名字：邵海燕
身份证号码：412702198109106112</t>
  </si>
  <si>
    <t>浙B6T119 - 返趟
18667867181
鲁坤坤
412728198509150319</t>
  </si>
  <si>
    <t>浙B5W781
潘宁宁
341221198409041536
18712565866</t>
  </si>
  <si>
    <t>车牌号:浙B3Q660
PLASTIC
电话:15658225828
名字:邵海燕
身份证号码:412702198109106112</t>
  </si>
  <si>
    <t>2托盘302-600kg</t>
  </si>
  <si>
    <t>车号:浙B9P86P
姓名:  徐皇军
身份证：33022719811016377X
手机：15990595882</t>
  </si>
  <si>
    <t>车号：    浙B2X885
司机：    胡厚军
托架号：    浙B991P挂
驾驶员手机：  13956287630</t>
  </si>
  <si>
    <t>浙B2H029  黄发水 13955004691   341124197812246039</t>
  </si>
  <si>
    <t>浙B2H029  浙B168R挂   
黄发水 13955004691   
身份证号：341124197812246039</t>
  </si>
  <si>
    <t>吨袋32个，20kg 小包64个</t>
  </si>
  <si>
    <t>司机名字：杨胜杰
车号:浙B2C570   
电话:18158218305
身份证:340122198607251534</t>
  </si>
  <si>
    <t>吨袋24个，20kg小包48个</t>
  </si>
  <si>
    <t>崔玉东
13089278757
220582199108120711
苏ECN6389</t>
  </si>
  <si>
    <t>32包560公斤吨袋，2包叠一起带一个托盘</t>
  </si>
  <si>
    <t>车号： 浙B5S072
司机： 张恒
托架号： 浙B8TN1挂
驾驶员手机：18158269329
身份证 342127197802244718</t>
  </si>
  <si>
    <t>车号： 浙B6C895
司机： 陈正春
托架号： 浙B911W挂
驾驶员手机： 13285843576
身份证号码:341226197902182313</t>
  </si>
  <si>
    <t>车号： 浙B5S201
司机： 张凯
驾驶员手机： 15888522860
司机身份证号： 
341222199106065531</t>
  </si>
  <si>
    <t>车号：    浙B1R568
司机：    刘代跃
驾驶员手机：    18758803312
身份证：    341126198503086016</t>
  </si>
  <si>
    <t>车号:浙B2C570   
电话:18158218305
姓名:杨杰
身份证:340122198607251534</t>
  </si>
  <si>
    <t>车号： 浙B2X885
司机： 胡厚军
托架号： 浙B991P挂
驾驶员手机：13956287630
身份证号码:341004197603280037</t>
  </si>
  <si>
    <t>车号： 浙B5Y686
司机： 刘传付
托架号： 浙B35C1挂
驾驶员手机：17606836522
身份证 342326196503115019</t>
  </si>
  <si>
    <t>车号: 　　　　　浙B5S201
司机: 　　　　　张凯
驾驶员手机: 　　15888522860
司机身份证号: 　341222199106065531</t>
  </si>
  <si>
    <t>车号:浙B2X355
电话:18937027228
姓名:李欣欣
身份证:411481198706113976</t>
  </si>
  <si>
    <t>车号： 浙B7K653
司机： 岳福坤
托架号： 浙B9Z87挂
驾驶员手机：15397736508
身份证号码:513027197708277633</t>
  </si>
  <si>
    <t>车号： 浙B6V880
司机： 李奎伍
托架号： 浙B1620挂
驾驶员手机：13221935198
身份证 341126197301116032</t>
  </si>
  <si>
    <t>车号： 浙B1R882
司机： 王永军
驾驶员手机： 18858063716
司机身份证号： 420381197907141552</t>
  </si>
  <si>
    <t>车号： 浙B6L000
司机： 张海涛
驾驶员手机： 13216688317
司机身份证号： 342201197710032437</t>
  </si>
  <si>
    <t>车号: 　　　　　浙B6K110
司机: 　　　　　董浩勇
驾驶员手机: 　　18668275056
司机身份证号: 　370827198711263012</t>
  </si>
  <si>
    <t>车号： 浙6T282
司机： 鲁红振
驾驶员手机： 18658253528
司机身份证号：320722198602054530</t>
  </si>
  <si>
    <t>车号： 浙B6K110
司机： 董浩勇
驾驶员手机： 18668275056
司机身份证号： 370827198711263012</t>
  </si>
  <si>
    <t>车号： 浙B3K218
司机： 钱树标
驾驶员手机： 18858234785
司机身份证号：32062519700412717X</t>
  </si>
  <si>
    <t>车号： 浙B3A888
司机： 尹家刚
驾驶员手机： 15606688986
司机身份证号：413027196609152714</t>
  </si>
  <si>
    <t>车号： 浙B5G790
司机： 马景伟
驾驶员手机： 15657807680
司机身份证号： 341226198112072114</t>
  </si>
  <si>
    <t>箱号： HMMU4433380
封号： 26H0106387</t>
  </si>
  <si>
    <t>箱号： YMMU7317885
封号： YMAW506219</t>
  </si>
  <si>
    <t>箱号： HMMU4856227
封号： 26H0103344</t>
  </si>
  <si>
    <t>车号： 浙B6K506
司机： 刘兆东
驾驶员手机： 18658283020
司机身份证号：34112197808051811</t>
  </si>
  <si>
    <t>箱号： HMMU4373764
封号： 26H0103759</t>
  </si>
  <si>
    <t>箱号： TEMU8785261
封号： YMAW506223</t>
  </si>
  <si>
    <t>箱号： HMMU4435505
封号： 26H0106335</t>
  </si>
  <si>
    <t>车号： 浙B2N201 
司机： 朱晓利 
驾驶员手机： 13105570937 
身份证号342201197009272416</t>
  </si>
  <si>
    <t>车号： 浙B1L983
司机： 朱其全
驾驶员手机： 15258212803
司机身份证号：341226198512281599</t>
  </si>
  <si>
    <t>车号:浙B6J903
司机:王中样
驾驶员手机:15858491848
驾驶员身份证号:43312719870416501X</t>
  </si>
  <si>
    <t>姓名：陶英祥
身份证：340122199106011510
车牌: 浙B62992
电话：18217140592</t>
  </si>
  <si>
    <t>姓名：吴勇
身份证：340122198903101514
车牌: 浙B2P095
电话：15356221530</t>
  </si>
  <si>
    <t>姓名：陶英林
身份证：340122197607161518
车牌：浙B3C693
电话：13738835226</t>
  </si>
  <si>
    <t>车牌号:苏B DX199
司机姓名:姚常义
身份证号码:430682198108234436
电话号码:13285165466</t>
  </si>
  <si>
    <t>车号:鲁Q98kW2
司机:李中庆
电话:13793939732
身份证:，371325198408293033</t>
  </si>
  <si>
    <t>姓名：徐卫东
身份证：320322197201231659
车牌: 浙B 1Q193
电话：13250984629</t>
  </si>
  <si>
    <t>姓名：吴勇
身份证：340122198903101514
车牌: 浙B2P095
电话：15256221530</t>
  </si>
  <si>
    <t>车号:浙BDW3521
司机:孔龙
电话:17321189909
身份证:，341224199305065852</t>
  </si>
  <si>
    <t>车号:鲁MCL255
司机:李建新
电话:15854329157
身份证:372330197409020157</t>
  </si>
  <si>
    <t>车号:鲁RP3738
司机:朱海军
电话:17563706444
身份证:372926197310260116</t>
  </si>
  <si>
    <t>车号:鲁EK1135
司机:贾海超
电话:13210390290
身份证:370523198905123614</t>
  </si>
  <si>
    <t>车号: 　　　　　浙B7T916
司机: 　　　　　张静
驾驶员手机: 　　18606865081</t>
  </si>
  <si>
    <t>车号: 　　　　     浙B2X291
司机: 　　　　　谢小亮
驾驶员手机: 　　17751885572</t>
  </si>
  <si>
    <t>浙B2X291
电话17751885572 18094589969 
谢小亮 32072219860304393X</t>
  </si>
  <si>
    <t>浙B2N688
电话17682389057
陈二辉
342128198004200471</t>
  </si>
  <si>
    <t>姓名：王财志
车牌：浙B1X637
手机号：18142047997
身份证：632126197501220619
挂车牌：浙B307L挂</t>
  </si>
  <si>
    <t>车号: 　　　　　浙B3K338
司机: 　　　　　任治国
驾驶员手机: 　　13008901115</t>
  </si>
  <si>
    <t>车号: 　　　　　浙B2X291
司机: 　　　　　谢小亮
驾驶员手机: 　　17751885572</t>
  </si>
  <si>
    <t>车号: 　　　　　浙B1V570
司机: 　　　　　吴秀清
驾驶员手机: 　　15906518508</t>
  </si>
  <si>
    <t>600kg吨袋， 2 袋 1 托盘</t>
  </si>
  <si>
    <t>√</t>
  </si>
  <si>
    <t>姓名：李欣欣
身份证：411481198706113976
车牌：浙B2X355
电话：18937027228</t>
  </si>
  <si>
    <t>身份证:340122198702151515
姓名:吴念
车牌:浙B1H890
司机电话:18356072606</t>
  </si>
  <si>
    <t>小包打托</t>
  </si>
  <si>
    <t>车牌：浙B0X202 ，浙B092C挂
姓名：郜峰 
电话：15606688321 
身份证号：34232619720518773X</t>
  </si>
  <si>
    <t xml:space="preserve">车牌号：浙B3Q660
电话：15658225828
名字：邵海燕
身份证号码：412702198109106112
</t>
  </si>
  <si>
    <t>浙B2R529
时敬，18601668582
412702197201206058</t>
  </si>
  <si>
    <t>车号:苏MDF3922
司机:李旭东
驾驶员手机:15850874277
身份证:321202199408184510</t>
  </si>
  <si>
    <t>苏EVP368
司机:时康
手机号:18051520505
身份证号码:342225199504200532</t>
  </si>
  <si>
    <t>车牌号：浙B3Q660
电话：15658225828
名字：邵海燕
身份证：412702198109106112</t>
  </si>
  <si>
    <t>车牌号：浙B2S116
电话：15557079966
名字：杜海军
身份证：412728198611153452</t>
  </si>
  <si>
    <t>车号： 浙B2H113
司机： 陈昌会
驾驶员手机： 18668291568
身份证：342622197404031712</t>
  </si>
  <si>
    <t>32个560kg 吨袋，64个小包（2包，1托盘）</t>
  </si>
  <si>
    <t>20kg 托盘</t>
  </si>
  <si>
    <t>箱号CAAU9218420
铅封FX48515965</t>
  </si>
  <si>
    <t>鲁H67Y17  
王军光 
15224955536 
412723199002022599</t>
  </si>
  <si>
    <t>箱号CAAU8654985
铅封FX48515966</t>
  </si>
  <si>
    <t>浙B2R030    
高彦 
15005682333 
342127198104292717</t>
  </si>
  <si>
    <t>吨袋，600公斤一包</t>
  </si>
  <si>
    <t>车号： 浙B7V936
司机： 秦再校
驾驶员手机： 19237437377
司机身份证号： 433127197310210311</t>
  </si>
  <si>
    <t>车号: 　　　　　浙B0R883
司机: 　　　　　杨伟
驾驶员手机: 　　15658322868
司机身份证号: 　342224197408109776</t>
  </si>
  <si>
    <t>车号: 　　　　　浙B7V936
司机: 　　　　　秦再校
驾驶员手机: 　　19237437377
司机身份证号: 　433127197310210311</t>
  </si>
  <si>
    <t>车号： 浙B0R883
司机： 杨伟
驾驶员手机： 15658322868
司机身份证号: 　342224197408109776</t>
  </si>
  <si>
    <t>车号： 浙B3J956
司机： 周江亮
驾驶员手机： 18774542883
司机身份证号：43082219970919087X</t>
  </si>
  <si>
    <t>浙B0T580/浙B017Y挂
黄建国
15179406616    362527197807020831</t>
  </si>
  <si>
    <t>浙B87H96/浙B8B6X挂
涂斌财
18679405365   362527197607180814</t>
  </si>
  <si>
    <t>浙B6H302/浙LH999挂 
余忠意
13879476312   362527198201180835</t>
  </si>
  <si>
    <t>箱号: 　　　　　GAOU7480068
封号: 　　　　　CN6572321</t>
  </si>
  <si>
    <r>
      <rPr>
        <sz val="11"/>
        <rFont val="宋体"/>
        <charset val="134"/>
        <scheme val="minor"/>
      </rPr>
      <t>车号: 浙</t>
    </r>
    <r>
      <rPr>
        <b/>
        <sz val="11"/>
        <color theme="1"/>
        <rFont val="宋体"/>
        <charset val="134"/>
        <scheme val="minor"/>
      </rPr>
      <t>B5Z775</t>
    </r>
    <r>
      <rPr>
        <sz val="11"/>
        <color theme="1"/>
        <rFont val="宋体"/>
        <charset val="134"/>
        <scheme val="minor"/>
      </rPr>
      <t xml:space="preserve">
司机: 李志诚
手机: 13044938444
身份证:421102198111110514</t>
    </r>
  </si>
  <si>
    <t>箱号： MIEU3488994
封号： ML-CN6513534</t>
  </si>
  <si>
    <t>车号: 浙B1P577
司机: 李晓白
手机: 13095917815
身份证:342901197311141132</t>
  </si>
  <si>
    <t>箱号： MRSU8178926
封号： ML-CN6511287</t>
  </si>
  <si>
    <t>车号: 浙B3N332
浙B761F挂
司机: 朱其林
手机: 15399665570
身份证:341226198512175219</t>
  </si>
  <si>
    <t>车号: 浙B2G962
浙B368T挂
司机: 张赛飞 
手机: 15937595901
身份证: 410425198312016012</t>
  </si>
  <si>
    <t>箱号: 　　　　　MRKU4590887
封号: 　　　　　CN6572366</t>
  </si>
  <si>
    <t>车号: 　　　　　浙B1P577
司机: 　　　　　李晓白
驾驶员手机: 　　13095917815
司机身份证号: 　34290119731114113</t>
  </si>
  <si>
    <t>箱号: 　　　　　CAAU8384318
封号: 　　　　　CN6572372</t>
  </si>
  <si>
    <t>车号: 　　　　　浙B5Z775
司机: 　　　　　李志诚
驾驶员手机: 　　13044938444
身份证:421102198111110514</t>
  </si>
  <si>
    <t>箱号： HASU4053480
封号： CN6572390</t>
  </si>
  <si>
    <t>箱号： MRKU4909280
封号： CN6572378</t>
  </si>
  <si>
    <t>浙B81G02/浙B82GX挂
胡直海
15310502290     500234198409082558</t>
  </si>
  <si>
    <t>车号： 浙B2S372
司机： 沈洋
驾驶员手机：18858015363
装箱地点： 嵊州
身份证号 341226199002050816</t>
  </si>
  <si>
    <t>CHINA UNICHEM</t>
  </si>
  <si>
    <t>车号： 浙B2S372
司机： 沈洋
手机： 18858015363
身份证：      341226199002050816</t>
  </si>
  <si>
    <t>浙B6M365    
付彬，15726830365
341226199210052330</t>
  </si>
  <si>
    <t xml:space="preserve">
浙B6H302/浙LH999挂 
余忠意
13879476312   362527198201180835</t>
  </si>
  <si>
    <t xml:space="preserve">
浙B81G02/浙B82GX挂
胡直海
15310502290     500234198409082558</t>
  </si>
  <si>
    <t>浙B 5 W155电话，13208062869身份证号，412728198707223814高华伟</t>
  </si>
  <si>
    <t>箱号： UETU8817112
封号： M1333801</t>
  </si>
  <si>
    <t>车号： 浙B6G327
司机： 陈万勤
驾驶员手机： 18606691053
司机身份证号：320123197112072815</t>
  </si>
  <si>
    <t>箱号: 　　　　　UETU8817128
封号: 　　　　　M1333802</t>
  </si>
  <si>
    <t>车号: 　　　　　浙B88D20
司机: 　　　　　江勇
驾驶员手机: 　　13065831030
司机身份证号: 　340403196903103016</t>
  </si>
  <si>
    <t>箱号: 　　　　　TCLU9692607
封号: 　　　　　J1654342</t>
  </si>
  <si>
    <t>车号: 　　　　　浙B7K397
司机: 　　　　　邵全伟
驾驶员手机: 　　13666766469
司机身份证号: 　341204197603182016</t>
  </si>
  <si>
    <t>箱号: 　　　　　BMOU5656740
封号: 　　　　　J1654385</t>
  </si>
  <si>
    <t>车号: 　　　　　浙B1Z675
司机: 　　　　　范士成
驾驶员手机: 　　15906522360
司机身份证号: 　232303196912292016</t>
  </si>
  <si>
    <t>箱号： GESU5594928
封号： CN3720894</t>
  </si>
  <si>
    <t>箱号: 　　　　　UETU8816116
封号: 　　　　　M1333776</t>
  </si>
  <si>
    <t>箱号: 　　　　　SEGU5318061
封号: 　　　　　J1654335</t>
  </si>
  <si>
    <t xml:space="preserve">浙B0T580/浙B017Y挂 
黄建国
15179406616     362527197807020831
</t>
  </si>
  <si>
    <t>浙B1X263/浙B363X挂
张闯
15236806758        411422199409205430</t>
  </si>
  <si>
    <t>浙B2T363/浙B533T挂
刘兴德
18605743820    412323197107061219</t>
  </si>
  <si>
    <t xml:space="preserve">
浙B89G03/浙B863V挂
刘涛
15657826556     411421198206197759</t>
  </si>
  <si>
    <t xml:space="preserve">车号:浙B6K060/浙BV258挂
司机姓名:赵中海
司机电话:15023892399    511225197609123512 </t>
  </si>
  <si>
    <t>车号:浙B2N585/浙B385E挂
司机姓名:葛和义
司机电话:16650167663      41232519790418541X</t>
  </si>
  <si>
    <t>车号:浙B3C077/浙B02B7挂
司机姓名:黄修山
司机电话:15517098661    412325197305075411</t>
  </si>
  <si>
    <t>车号:浙B2U693
司机姓名:刘闯
司机电话:13216698658</t>
  </si>
  <si>
    <t>苏F97Z5A
司机:钱锋
身份证号码:340823199201165336
手机号:18261783795</t>
  </si>
  <si>
    <t>苏DFR039
司机:潘金林
身份证号码:342422198304055817
手机号:13155449839</t>
  </si>
  <si>
    <t>浙B5S072 浙B8TN1挂  
张恒  
18158269329    
身份证   342127197802244718</t>
  </si>
  <si>
    <t>浙B6M333 浙B0Z67挂
司机：陈保超 
身份证 342128197304151793
电话  18606877698</t>
  </si>
  <si>
    <t>司机信息：姓名： 文彬
身份证号：511525199201084578
联系电话：13989360925
前车牌号：浙B2N968
后车牌号：浙B586Y挂</t>
  </si>
  <si>
    <t>车号:浙B6P782
司机: 吴铁录
驾驶员手机: 　　18657451611
身份证：34122619861013551X</t>
  </si>
  <si>
    <t>车号:鲁CN9182
司机:袁树成
电话:15698090278
身份证:37083019831012081X</t>
  </si>
  <si>
    <t>CHDW-20260729-037-1</t>
  </si>
  <si>
    <t>车号： 浙B2L600
司机： 徐明
托架号： 浙B579U挂
驾驶员手机： 13685703550</t>
  </si>
  <si>
    <t>车牌：浙B1D997
司机：孙怀德
电话：13056955268
身份证：341126197003101211</t>
  </si>
  <si>
    <t>姓名：袁世友
车牌：浙B1T926
手机号：18658263928
身份证：340122197110180617
挂车牌：浙B109B挂</t>
  </si>
  <si>
    <t>姓名：苏友玉
车牌号：浙B2T309
电话：15056999956
身份证：340122198202040931
挂车牌：浙B505E挂</t>
  </si>
  <si>
    <t>姓名:尹维坡
车牌：浙B2X077
手机号：18667831616
身份证：342128197811124730
挂车牌：浙B771R挂</t>
  </si>
  <si>
    <t>车号：浙B5W391
司机：袁庭林
驾驶员手机：18167219951
身份证：342622197002122275</t>
  </si>
  <si>
    <t>车号： 浙B3X216
托架号： 浙B22N3挂
司机： 刘安辉
驾驶员手机： 13252297828
身份证511026197111063810</t>
  </si>
  <si>
    <t>浙B6M333/浙B0Z67挂/18606877698    陈保超
身份证：342128197304151793</t>
  </si>
  <si>
    <t>车牌号:皖CA3938
司机:张敬孝
身份证号码:340323196905057519
电话号码:15857769205</t>
  </si>
  <si>
    <t>徐灿灿    15551968122   
沪EC2896   341224199311204193</t>
  </si>
  <si>
    <t>司机：郜峰
车牌号：浙B0X202
驾驶员手机：15606688321
身份证：34232619720518773</t>
  </si>
  <si>
    <t>车号:浙.B6Z533
姓名:李冬冬
电话:18226227070                                341282198905010176</t>
  </si>
  <si>
    <t>车号： 浙B2L600
司机： 徐明
车牌号： 浙B579U挂
驾驶员手机： 13685703550
身份证：411526199002021630</t>
  </si>
  <si>
    <t>车号： 浙B81F88
司机： 付兴海
托架号： 浙B88VU挂
驾驶员手机： 15968926588
身份证号：341226197712252333</t>
  </si>
  <si>
    <t>车号： 浙B6M365
司机： 付彬
托架号： 浙BOX09挂
驾驶员手机： 15726830365
身份证号：341226199210052330</t>
  </si>
  <si>
    <t>车号： 浙B5S072
司机： 张恒
托架号： 浙B8TN1挂
驾驶员手机： 18158269329
身份证号：342127197802244718</t>
  </si>
  <si>
    <t>车号： 浙B1M173
司机： 李金勇
托架号： 浙B8NN1挂
驾驶员手机： 18738739611
身份证：41292219780819343</t>
  </si>
  <si>
    <t>司机 张建，
身份证：342224198203081858
电话：13805844950
车牌号：浙B25ZK9</t>
  </si>
  <si>
    <t xml:space="preserve">张涛
苏ELG137
341281199007276552
13382505923
</t>
  </si>
  <si>
    <t>车牌：苏 NDF158
许小亮
320827198401206056
手机：15052713671</t>
  </si>
  <si>
    <t>车号： 浙B6D518
托架号： 浙B85JD挂
司机： 时春恒
驾驶员手机： 19858269115</t>
  </si>
  <si>
    <t xml:space="preserve">车号: 　　　　　浙B2H113
托架号: 　　　　浙B736B挂
司机: 　　　　　陈昌会
驾驶员手机: 　　18668291568
</t>
  </si>
  <si>
    <t xml:space="preserve">车号： 浙B5Z922 
托架号： 浙B99C5挂 
司机： 张时祥 
驾驶员手机： 18858259127
</t>
  </si>
  <si>
    <t>车号:鲁Q158ML
司机:盛增来
电话:15312699008
身份证:320381197610290633</t>
  </si>
  <si>
    <t xml:space="preserve">浙B2D761，浙B785U挂
13282265913
高树祥   身份证：370827197603020019 </t>
  </si>
  <si>
    <t>苏EkJ969
韩周正
15358425600
412931197801102116</t>
  </si>
  <si>
    <t>车号： 浙B5G050
托架号： 浙B55R3挂
司机： 许启才
驾驶员手机： 18858259168
装箱地点： 余姚泗门
身份证342622196701301817</t>
  </si>
  <si>
    <t>车号： 浙B5Z922
托架号： 浙B99C5挂
司机： 张时祥
驾驶员手机： 18858259127
装箱地点： 余姚泗门
身份证342622197207241999</t>
  </si>
  <si>
    <t>车号浙B81F88
电话:15968926588
司机:付兴海
身份证:341226197712252333</t>
  </si>
  <si>
    <t>浙 B6C895 浙 B911W挂 
电话:13285843576  
司机:陈正春  
身份证:341226197902182313</t>
  </si>
  <si>
    <t>浙BF9551
张新河
13355147272
370827196708023211</t>
  </si>
  <si>
    <t>浙B6B328
张桂鹏
13372452067
370827197902103017</t>
  </si>
  <si>
    <t>浙B5H538
冯明华
15558251079
370828196706082038</t>
  </si>
  <si>
    <t>浙B6P867
苏四清
18958218621
412728196609055256</t>
  </si>
  <si>
    <t>浙B6T530
张景磊
15657803778
370827196709153018</t>
  </si>
  <si>
    <t>浙B01629D
奚道林
15669205756
370827198301052837</t>
  </si>
  <si>
    <t>车号:鲁VL9186
司机:徐海军
电话:13694666433
身份证:230826198002121030</t>
  </si>
  <si>
    <t>浙B1G165
张学芹
13157482988
370827197102163716</t>
  </si>
  <si>
    <t>浙B7T251
郭豪
18854071511
372923198705081732</t>
  </si>
  <si>
    <t>浙B0U596
江华超
15557068667
420624197902031353</t>
  </si>
  <si>
    <t>车号:浙B6V880  浙B1620挂    
司机:李奎伍 
电话:13221935198 
身份证:341126197301116032</t>
  </si>
  <si>
    <t>车号:浙B5Y686
司机:刘传付 
电话:17606836522  
身份证:342326196503115019</t>
  </si>
  <si>
    <t>浙B2M108
孔凡喜
18268527436
220622197310084515</t>
  </si>
  <si>
    <t>浙B7M588
王庆涛
15990283538
341221199601271299</t>
  </si>
  <si>
    <t>浙B2T783
周小明
18868976077
360423197105133513</t>
  </si>
  <si>
    <t>浙B0N665
包雷勇
15867856144
33022719810314161X</t>
  </si>
  <si>
    <t>浙B7P707
曹新真
15064731889
370827198507052816</t>
  </si>
  <si>
    <t>浙B3F038
贾美波
15012793210
433130198812068717</t>
  </si>
  <si>
    <t>吴宁
皖L653W9
18255757414 
342201199702014756</t>
  </si>
  <si>
    <t>车号: 　　　　　浙B5G050
托架号: 　　　　浙B55R3挂
司机: 　　　　　许启才
驾驶员手机: 　　18858259168
身份证342622196701301817</t>
  </si>
  <si>
    <t>车号：    浙B2Z655
托架号：    浙B6Y95挂
司机：    方东生
身份证：342622197508075074</t>
  </si>
  <si>
    <t>车号： 浙B5W391
托架号： 浙B31G0挂
司机： 袁庭林
驾驶员手机：18167219951
身份证342622197002122275</t>
  </si>
  <si>
    <t>车号： 浙B3Q161
托架号： 浙B791S挂
司机： 张显重
驾驶员手机： 18882309768
装箱地点： 余姚泗门
身份证511321197404176434</t>
  </si>
  <si>
    <t>车号:皖CW9879
司机:崔继刚
电话:15755288877
身份证:340321198707143770</t>
  </si>
  <si>
    <t>车号： 浙B5Z922
托架号： 浙B99C5挂
司机： 张时祥
驾驶员手机： 18858259127
身份证：342622197207241999</t>
  </si>
  <si>
    <t>车号： 浙B2X912
托架号： 浙B18V3挂
司机： 黄学成
驾驶员手机： 13065825799
身份证：341204196703101813</t>
  </si>
  <si>
    <t>车号： 浙B6M975 
托架号： 浙B8W07挂 
司机： 严庆中 
驾驶员手机： 15658287028 
装箱地点： 余姚泗门 
身份证342622198208151000</t>
  </si>
  <si>
    <t>车号： 浙B2Z655 
托架号： 浙B6Y95挂 
司机： 方东生 
驾驶员手机： 13484046998 
装箱地点： 余姚泗门 
身份证342622197508075074</t>
  </si>
  <si>
    <t>车号： 浙B1R813 
托架号： 浙BZ117挂 
司机： 何启仓 
驾驶员手机： 15657822008 
装箱地点： 余姚泗门 
身份证342622197105252072</t>
  </si>
  <si>
    <t>车号： 浙B2X912-  返趟
托架号： 浙B18V3挂
司机： 黄学成
驾驶员手机： 13065825799
身份证：341204196703101813</t>
  </si>
  <si>
    <t>车号： 浙B6D518
托架号： 浙B85JD挂
司机： 时春恒
驾驶员手机： 19858269115
身份证：341204197806152036</t>
  </si>
  <si>
    <t>车号： 浙B3S998
托架号： 浙B12K6挂
司机： 王青台
驾驶员手机： 18312991668
身份证：341203197812243413</t>
  </si>
  <si>
    <t>车号： 浙B6X302
司机： 韩少才
驾驶员手机： 19858238267
身份证:34212719820412151X</t>
  </si>
  <si>
    <t>车牌号:苏EGR561
司机:李玉龙
身份证号码:370406198707246654
电话号码:15062572309</t>
  </si>
  <si>
    <t>浙B9B712
18667867181
鲁坤坤
412728198509150319</t>
  </si>
  <si>
    <t>司机：孙怀德
车牌号：浙B1D997
驾驶员手机：13056955268</t>
  </si>
  <si>
    <t>浙B6V373
陈义 
15867230093
50024019860709117X</t>
  </si>
  <si>
    <t>司机：狄文文 
车牌号：浙B6C079
驾驶员手机：18667863997
身份证：372926198611045457</t>
  </si>
  <si>
    <t>浙B7N007
王庆伟
15055574143
341221199709061314</t>
  </si>
  <si>
    <t>浙B2N072
夏玉晓
18658236263
412928197110294130</t>
  </si>
  <si>
    <t>浙B6C079
狄文文
18667863997
372926198611045457</t>
  </si>
  <si>
    <t xml:space="preserve">浙B7P199
李文龙
15000098119
41272819851029255X </t>
  </si>
  <si>
    <t>浙B0U276
刘春阳
18658260209
412928197803113515</t>
  </si>
  <si>
    <t>浙B6N817
周安磊
15557005718
341226197706242315</t>
  </si>
  <si>
    <t>浙B1S011
刘伟
15958251938
342127197908031438</t>
  </si>
  <si>
    <t>车号：    浙B6D518
托架号：    浙B85JD挂
司机：    时春恒
驾驶员手机：    19858269115
装箱地点：    余姚泗门
身份证号：341204197806152036</t>
  </si>
  <si>
    <t>车号：    浙B2X912
托架号：    浙B18V3挂
司机：    黄学成
驾驶员手机：    13065825799
装箱地点：    余姚泗门
身份证号：341204196703101813</t>
  </si>
  <si>
    <t>浙B2K219
谢玉
15558397219
522422198302111612</t>
  </si>
  <si>
    <t>车号:豫ND5730
姓名:刘树志
身份证:411628197211243810
电话:18658273466</t>
  </si>
  <si>
    <t>车号:苏CLP966
姓名:冯甲权
电话:15205222028
身份证:320381198210288539</t>
  </si>
  <si>
    <t>姓名:  尹维坡
车牌：浙B2X077
手机号：18667831616
身份证：342128197811124730
挂车牌：浙B771R挂</t>
  </si>
  <si>
    <t>车号:皖SC9969
姓名:刘彬
电话:15656823715
身份证:341224197208040590</t>
  </si>
  <si>
    <t>车号豫Q921DE
司机:李海伟
电话:18838327139
身份证:412722198011116131</t>
  </si>
  <si>
    <t>车号:豫PR7738
姓名:胥敬忠
电话:15669546631
身份证:412725196912213852</t>
  </si>
  <si>
    <t>车牌:浙G58751
姓名:邓苏平
电话:18267927226
身份证:420982198403090054</t>
  </si>
  <si>
    <t>车号:皖C81277
姓名:燕杰
身份证:342124197502104415
电话:13033648999</t>
  </si>
  <si>
    <t>姓名:馮玉旗
车号:豫N13A2A
身份证:41232719811221921X
电话:13216813709</t>
  </si>
  <si>
    <t>车号： 浙B6M365
司机： 付彬
托架号： 浙BOX09挂
驾驶员手机： 15726830365</t>
  </si>
  <si>
    <t xml:space="preserve"> 车牌号：浙B3Q660
电话：15658225828
名字：邵海燕
身份证号码：412702198109106112</t>
  </si>
  <si>
    <t>车号:鲁GC52D8
司机:孙富军:
电话:17353532697
身份证:370681198704181833</t>
  </si>
  <si>
    <t>车号： 浙B2K839 
司机：康李 
驾驶员手机： 18758387106
装箱地点： 余姚
340122198608010337</t>
  </si>
  <si>
    <t>司机： 何启仓
驾驶员手机： 15657822008
装箱地点： 余姚
身份证342622197105252072</t>
  </si>
  <si>
    <t>车号： 浙B2X912
托架号： 浙B18V3挂
司机： 黄学成
驾驶员手机： 13065825799
装箱地点： 余姚
身份证341204196703101813</t>
  </si>
  <si>
    <t>车号： 浙B5V713 
托架号： 浙B99E2挂 
司机： 黄诗兵 
驾驶员手机： 15656989277 
装箱地点： 余姚泗门 
身份证342622197106141315</t>
  </si>
  <si>
    <t>车号： 浙B5Z922 
托架号： 浙B99C5挂 
司机： 张时祥 
驾驶员手机： 18858259127 
装箱地点： 余姚泗门 
身份证342622197207241999</t>
  </si>
  <si>
    <t>车号： 浙B2H113 
托架号： 浙B736B挂 
司机： 陈昌会 
驾驶员手机： 18668291568 
装箱地点： 余姚泗门 
342622197404031712</t>
  </si>
  <si>
    <t>车号： 浙B5G050 
托架号： 浙B55R3挂 
司机： 许启才 
驾驶员手机： 18858259168 
装箱地点： 余姚 
身份证342622196701301817</t>
  </si>
  <si>
    <t>车号： 浙B5X103 
托架号： 浙B279R挂 
司机： 夏俊勇 
驾驶员手机： 15606606117 
装箱地点： 余姚 
身份证342622197511261812</t>
  </si>
  <si>
    <t>车号： 浙B2Z655 
托架号： 浙B6Y95挂 
司机： 方东生 
驾驶员手机： 13484046998 
装箱地点： 余姚 
身份证342622197508075074</t>
  </si>
  <si>
    <t>车号： 浙B3T715 
托架号： 浙B137J挂 
司机： 卜四安 
驾驶员手机： 15256987333 
装箱地点： 余姚 
身份证342622198101022338</t>
  </si>
  <si>
    <t>车号:皖SF9718
司机:王小华:
电话:17856783382
身份证:341281197802166070</t>
  </si>
  <si>
    <t>司机：郜峰
车牌号：浙B0X202
驾驶员手机：15606688321
身份证号：34232619720518773X</t>
  </si>
  <si>
    <t>车号： 浙B2H113
托架号： 浙B736B挂
司机： 陈昌会
驾驶员手机： 18668291568
身份证34262219740431712</t>
  </si>
  <si>
    <t>车号:苏EGR561
司机:李玉龙:
电话:15062572309
身份证:370406198707246654</t>
  </si>
  <si>
    <t>佣金单价</t>
  </si>
  <si>
    <t>审批价</t>
  </si>
  <si>
    <t>FIREMAX(CAMBODIA)TIRES CO.. LTD</t>
  </si>
  <si>
    <t>ZJCHDW-20260121-002</t>
  </si>
  <si>
    <t>N326</t>
  </si>
  <si>
    <t>1000kg 吨袋，22吨1个柜子</t>
  </si>
  <si>
    <t>胡志明市</t>
  </si>
  <si>
    <t>LC90</t>
  </si>
  <si>
    <t xml:space="preserve">Synergy Industriez </t>
  </si>
  <si>
    <t>ZJCHDW-20260401-016</t>
  </si>
  <si>
    <t>CH811</t>
  </si>
  <si>
    <t>未定指导价</t>
  </si>
  <si>
    <t>25kg/bag，散装</t>
  </si>
  <si>
    <t>HNHAVA SHEVA</t>
  </si>
  <si>
    <t>EUROPEAN PLASTIC JOINT STOCK COMPANY</t>
  </si>
  <si>
    <t>ZJCHDW-20260119-001</t>
  </si>
  <si>
    <t>CH810</t>
  </si>
  <si>
    <t>25kg/bag，托盘包装，1吨1托</t>
  </si>
  <si>
    <t>Hai Phong</t>
  </si>
  <si>
    <t>RAI INNOTECH POLYMERS PVT. LTD.</t>
  </si>
  <si>
    <t>ZJCHDW-20260122-003</t>
  </si>
  <si>
    <t>CH812</t>
  </si>
  <si>
    <t>MUNDRA</t>
  </si>
  <si>
    <t>D.R.PLASTO TECH PRIVATE LIMITED</t>
  </si>
  <si>
    <t>ZJCHDW-20260211-004</t>
  </si>
  <si>
    <t>CH883</t>
  </si>
  <si>
    <t>ZJCHDW-20260211-005</t>
  </si>
  <si>
    <t>NHAVA SHEVA</t>
  </si>
  <si>
    <t>G P FLEX (INDIA)</t>
  </si>
  <si>
    <t>ZJCHDW-20260211-006</t>
  </si>
  <si>
    <t>ZJCHDW-20260211-007</t>
  </si>
  <si>
    <t>AMAZON CORPORATE SERVICES PVT. LTD.</t>
  </si>
  <si>
    <t>ZJCHDW-20260211-008</t>
  </si>
  <si>
    <t>MUNDRA, FINAL ICD DADRI</t>
  </si>
  <si>
    <t>DARU COMMERCE CO., LTD.</t>
  </si>
  <si>
    <t>ZJCHDW-20260305-009</t>
  </si>
  <si>
    <t>1000KG/包，2包共用1个托盘，20吨/20尺小柜</t>
  </si>
  <si>
    <t>ABBEY VIETNAM JOINT STOCK COMPANY</t>
  </si>
  <si>
    <t>ZJCHDW-20260310-010</t>
  </si>
  <si>
    <t>20公斤带托盘</t>
  </si>
  <si>
    <t>Valutrans Investment Co., Limited</t>
  </si>
  <si>
    <t>ZJCHDW-20260312-011</t>
  </si>
  <si>
    <t>N330</t>
  </si>
  <si>
    <t>1000kg带托盘</t>
  </si>
  <si>
    <t>ZJCHDW-20260313-012</t>
  </si>
  <si>
    <t>Polyram Plastic Industries LTD</t>
  </si>
  <si>
    <t>ZJCHDW-20260316-013</t>
  </si>
  <si>
    <t>CH875</t>
  </si>
  <si>
    <t>1000KG吨包带托盘</t>
  </si>
  <si>
    <t>HAIFA</t>
  </si>
  <si>
    <t>LC60</t>
  </si>
  <si>
    <t>ZJCHDW-20260323-014</t>
  </si>
  <si>
    <t>ZJCHDW-20260401-015</t>
  </si>
  <si>
    <t>ZJCHDW-20260401-017</t>
  </si>
  <si>
    <t>ZJCHDW-20260401-018</t>
  </si>
  <si>
    <t>ZJCHDW-20260401-019</t>
  </si>
  <si>
    <t>ARLON INNOVATION BHARAT PRIVATE LIMITED</t>
  </si>
  <si>
    <t>ZJCHDW-20260408-020</t>
  </si>
  <si>
    <t>BOMBAY PLASTIC UDYOG</t>
  </si>
  <si>
    <t>ZJCHDW-20260408-021</t>
  </si>
  <si>
    <t>ZJCHDW-20260428-022</t>
  </si>
  <si>
    <t>ZJCHDW-20260428-023</t>
  </si>
  <si>
    <t>G.P. FLEX (INDIA)</t>
  </si>
  <si>
    <t>ZJCHDW-20260428-024</t>
  </si>
  <si>
    <t>KALAY DO BRASIL LTDA</t>
  </si>
  <si>
    <t>ZJCHDW-20260428-025</t>
  </si>
  <si>
    <t>RIGHT GLOBAL ADVANCED CO., LIMITED</t>
  </si>
  <si>
    <t>ZJCHDW-20260428-026</t>
  </si>
  <si>
    <t>ZJCHDW-20260511-027</t>
  </si>
  <si>
    <t>SKB INDUSTRIES</t>
  </si>
  <si>
    <t>ZJCHDW-20260513-028</t>
  </si>
  <si>
    <t>ZJCHDW-20260602-029</t>
  </si>
  <si>
    <t>Polynomous Industries Private Limited</t>
  </si>
  <si>
    <t>ZJCHDW-20260706-030</t>
  </si>
  <si>
    <t>ZJCHDW-20260710-031</t>
  </si>
  <si>
    <t>25kg/bag，带托盘</t>
  </si>
  <si>
    <t>ZJCHDW-20260710-032</t>
  </si>
  <si>
    <t>ZJCHDW-20260722-033</t>
  </si>
  <si>
    <t>ZJCHDW-20260722-034</t>
  </si>
  <si>
    <t>ZJCHDW-20260723-035</t>
  </si>
  <si>
    <t>ZJCHDW-20260723-036</t>
  </si>
  <si>
    <t>ZJCHDW-20260723-037</t>
  </si>
  <si>
    <t>ZJCHDW-20260723-038</t>
  </si>
  <si>
    <t>ZJCHDW-20260731-039</t>
  </si>
  <si>
    <t>本合同申请抵扣前面闭环合同，佣金共计4400美元，生物25年外销合同尾号（050.051.053.056.057.058.059.060.062），抵扣后本合同总金额63800美金。</t>
  </si>
  <si>
    <t>SPECTRUM IMPEX</t>
  </si>
  <si>
    <t>ZJCHDW-20260806-040</t>
  </si>
  <si>
    <t>ZJCHDW-20260811-041</t>
  </si>
  <si>
    <t>ZJCHDW-20260811-042</t>
  </si>
  <si>
    <t>TISAN MUHENDISLIK PLASTIKLERI SAN VE TIC LTD STI</t>
  </si>
  <si>
    <t xml:space="preserve"> ZJCHDW-20260822-043</t>
  </si>
  <si>
    <t>IZMIT</t>
  </si>
  <si>
    <t>CH890</t>
  </si>
  <si>
    <t>VECTUS POLYMERS PRIVATE LIMITED</t>
  </si>
  <si>
    <t xml:space="preserve"> ZJCHDW-20260826-044</t>
  </si>
  <si>
    <t xml:space="preserve"> ZJCHDW-20260911-045</t>
  </si>
  <si>
    <t xml:space="preserve"> ZJCHDW-20260911-046</t>
  </si>
  <si>
    <t>LC120</t>
  </si>
  <si>
    <t xml:space="preserve"> ZJCHDW-20260918-047</t>
  </si>
  <si>
    <t xml:space="preserve"> ZJCHDW-20260930-048</t>
  </si>
  <si>
    <t>ZJCHDW-20261012-049</t>
  </si>
  <si>
    <t>ZJCHDW-20261020-050</t>
  </si>
  <si>
    <t xml:space="preserve">ZJCHDW-20260119-001 </t>
  </si>
  <si>
    <t>001 全款</t>
  </si>
  <si>
    <t>AMAZON CORPORATE SERVICES PVT LTD</t>
  </si>
  <si>
    <t>008 预付款</t>
  </si>
  <si>
    <t>009 货款</t>
  </si>
  <si>
    <t>009 尾款</t>
  </si>
  <si>
    <t xml:space="preserve">ZJCHDW-20260313-012 </t>
  </si>
  <si>
    <t>012 30%定金</t>
  </si>
  <si>
    <t>012 70%尾款</t>
  </si>
  <si>
    <t>025 30%预付款</t>
  </si>
  <si>
    <t>POLYRAM PLASTIC INDUSTRIES LTD</t>
  </si>
  <si>
    <t>022 全款</t>
  </si>
  <si>
    <t>RAI INNOTECH POLYMERS PVTLTD</t>
  </si>
  <si>
    <t>LC</t>
  </si>
  <si>
    <t>信用证全款</t>
  </si>
  <si>
    <t>ZJCHDW-20260211-008-1</t>
  </si>
  <si>
    <t>008-1 80%尾款</t>
  </si>
  <si>
    <t>010 信用证</t>
  </si>
  <si>
    <t>ZJCHDW-20260211-008-2</t>
  </si>
  <si>
    <t>008-2 80%尾款</t>
  </si>
  <si>
    <t>025 70%尾款</t>
  </si>
  <si>
    <t>011 尾款</t>
  </si>
  <si>
    <t>031 全款</t>
  </si>
  <si>
    <t>RAI INNOTECH POLYMERS PRIVATE LIMITED</t>
  </si>
  <si>
    <t>ZJCHDW-20260401-019-2</t>
  </si>
  <si>
    <t>G P FLEX INDIA</t>
  </si>
  <si>
    <t>DR PLASTO TECH PVT LTD</t>
  </si>
  <si>
    <t>SYNERGY INDUSTRIEZ</t>
  </si>
  <si>
    <t>S K B INDUSTRIES</t>
  </si>
  <si>
    <t>80%尾款</t>
  </si>
  <si>
    <t>30%定金</t>
  </si>
  <si>
    <t>部分尾款</t>
  </si>
  <si>
    <t>4.2米高栏车</t>
  </si>
  <si>
    <t>车号：豫JN5518
姓名：陈保生
电话：19939306728
身份证号：410928197001061299</t>
  </si>
  <si>
    <t>快源物流</t>
  </si>
  <si>
    <t>TRLPENNGBMUN02121</t>
  </si>
  <si>
    <t>INLU4240159 /40HC / T46168</t>
  </si>
  <si>
    <t>车号： 浙B3Q131
司机： 张涛
驾驶员手机： 17634967958
司机身份证号： 341281198806202491</t>
  </si>
  <si>
    <t>BEAU4497504/40HC/T46195</t>
  </si>
  <si>
    <t>车号： 浙B2G292
司机： 周忠良
驾驶员手机： 13056757383
司机身份证号： 320722197907146052</t>
  </si>
  <si>
    <t>BEAU4294596 /40HC/T46162</t>
  </si>
  <si>
    <t>车号： 浙B3U615
司机： 吴飞
驾驶员手机： 15605841525
司机身份证号： 342622198901203217</t>
  </si>
  <si>
    <t>1000公斤吨包带托盘</t>
  </si>
  <si>
    <t>20GP</t>
  </si>
  <si>
    <t>浙B5C217挂车：浙B51A7挂
司机： 吴佳豪 
驾驶员手机：   18352905969
身份证：500240199508260534</t>
  </si>
  <si>
    <t>宁波腾辉国际物流有限公司</t>
  </si>
  <si>
    <t>浙B81F88
司机： 付兴海
驾驶员手机：15968926588</t>
  </si>
  <si>
    <t>浙B1T565
司机： 王辉 
驾驶员手机：   13250939801
身份证：34122619751013673X</t>
  </si>
  <si>
    <t>20公斤小包带托盘，1.3吨/托</t>
  </si>
  <si>
    <t>车号：浙B2X885
司机：胡厚军
驾驶员手机：13956287630</t>
  </si>
  <si>
    <t>车号：浙B2H029
司机：黄发水
驾驶员手机：13955004691</t>
  </si>
  <si>
    <t xml:space="preserve">车号：浙B6V880
司机：李奎伍
驾驶员手机：13221935198 </t>
  </si>
  <si>
    <t>车号：浙B5Q132
司机 ：谢正华
驾驶员手机：13296828339</t>
  </si>
  <si>
    <t>车号：浙B81F88
司机 ：付兴海
驾驶员手机：15968926588</t>
  </si>
  <si>
    <t>车号：浙B6C895
司机：陈正春
驾驶员手机：13285843576</t>
  </si>
  <si>
    <t>车号：浙B6M333
司机：陈保超
驾驶员手机：18606877698</t>
  </si>
  <si>
    <t xml:space="preserve">车号：浙B6M365
司机：付彬
驾驶员手机：15726830365    </t>
  </si>
  <si>
    <t>车号：浙B2L600
司机 ：徐明
驾驶员手机：13685703550</t>
  </si>
  <si>
    <t>车号：浙B5P332
司机 ：蔡自明
驾驶员手机：18856907101</t>
  </si>
  <si>
    <t>AMAZON</t>
  </si>
  <si>
    <t>ZJCHDW-20260401-019-1</t>
  </si>
  <si>
    <t>司机：鲁坤坤
身份证：412728198509150319
车牌：浙B6T119
电话：18667867181</t>
  </si>
  <si>
    <t>司机：罗祖明
身份证：433130198709102315
车牌：浙B2M812
电话：17742600034</t>
  </si>
  <si>
    <t>司机：李兆言
身份证：371322198610223814
车牌：浙B3K597
电话：19057976768</t>
  </si>
  <si>
    <t>司机：潘宁宁 
身份证：341221198409041536
车牌：浙B5W781
电话：18712565866</t>
  </si>
  <si>
    <t>浙B1M229，13056920288.岳甫明，340122196712180791</t>
  </si>
  <si>
    <t>姓名：罗祖明
身份证：433130198709102315
车牌：浙B2M812
电话：17742600034</t>
  </si>
  <si>
    <t>浙B1N973  手机13157483206 姓名 ：赵峰理身份证412728197902206898</t>
  </si>
  <si>
    <t>郝世兵，浙B6B950，340122197304050773
电话：13095963598</t>
  </si>
  <si>
    <t>车号： 浙B81F88
司机： 付兴海
托架号： 浙B88VU挂
驾驶员手机： 15968926588
身份证：341226197712252333</t>
  </si>
  <si>
    <t>1000kg/袋，带托盘</t>
  </si>
  <si>
    <t>车号: 浙B5X123
手机：18625727705 
司机：李朋伟
身份证：412702198406222718</t>
  </si>
  <si>
    <t>车号： 王辉
司机： 浙B1T565
托架号： 浙B111H挂
驾驶员手机： 13250939801
身份证：34122619751013673X</t>
  </si>
  <si>
    <t>车号： 浙B6M365
司机： 付彬
托架号： 浙BOX09挂
驾驶员手机： 15726830365
身份证：341226199210052330</t>
  </si>
  <si>
    <t xml:space="preserve">车号： 浙B6C895
司机： 陈正春
托架号： 浙B911W挂
驾驶员手机： 13285843576
身份证：341226197902182313  </t>
  </si>
  <si>
    <t>车号： 浙B5Q132
司机： 谢正华
托架号： 浙B150M挂
驾驶员手机： 13296828339
身份证：341124197801027017</t>
  </si>
  <si>
    <t>车号： 浙B2L600
司机： 徐明
托架号： 浙B579U挂
驾驶员手机： 13685703550
身份证：411526199002021630</t>
  </si>
  <si>
    <t>车号： 浙B1T565
司机： 王辉
托架号： 浙B111H挂
驾驶员手机：13250939801
身份证：34122619751013673X</t>
  </si>
  <si>
    <t>车号： 浙B3L100
司机： 严定文
托架号： 浙B599L挂
驾驶员手机： 15606686179
身份证：  429006196707240334</t>
  </si>
  <si>
    <t>车号： 浙B5S072
司机： 张恒
托架号： 浙B8TN1挂
驾驶员手机： 18158269329
身份证：342127197802244718</t>
  </si>
  <si>
    <t>车号： 浙B2X885
司机： 胡厚军
托架号： 浙B991P挂
驾驶员手机： 13956287630
身份证：341004197603280037</t>
  </si>
  <si>
    <t>车号： 浙B6V880
司机： 李奎伍
托架号： 浙B1620挂
驾驶员手机： 13221935198
身份证：341126197301116032</t>
  </si>
  <si>
    <t>车号： 浙B2H029
司机： 黄发水
托架号： 浙B168R挂
驾驶员手机： 13955004691
身份证：341124197812246039</t>
  </si>
  <si>
    <t>车号： 浙B6C895
司机： 陈正春
托架号： 浙B911W挂
驾驶员手机： 13285843576
装箱地点： 嵊州剡湖
身份证：341226197902182313</t>
  </si>
  <si>
    <t>车号： 浙B2X885
司机： 胡厚军
托架号： 浙B991P挂
驾驶员手机： 13956287630
装箱地点： 嵊州剡湖
身份证：341004197603280037</t>
  </si>
  <si>
    <t>车号： 浙B3L100
司机： 严定文
托架号： 浙B599L挂
驾驶员手机： 15606686179
装箱地点： 嵊州剡湖
 身份证：  429006196707240334</t>
  </si>
  <si>
    <t>车号：浙B6B255
司机：王连勇
驾驶员手机：15907412335
身份证：433130199111194619</t>
  </si>
  <si>
    <t>车号： 浙B7K653
司机： 岳福坤
托架号： 浙B9Z87挂
驾驶员手机： 15397736508
身份证: 513027197708277633</t>
  </si>
  <si>
    <t>车号： 浙B81F88
司机： 付兴海
托架号： 浙B88VU挂
驾驶员手机： 15968926588
身份证341226197712252333</t>
  </si>
  <si>
    <t>车号： 浙B1T565
司机： 王辉
托架号： 浙B111H挂
驾驶员手机： 13250939801
身份证：34122619751013673X</t>
  </si>
  <si>
    <t>车号： 浙B6M333
司机： 陈保超
托架号： 浙B0Z67挂
驾驶员手机： 18606877698
身份证：342128197304151793</t>
  </si>
  <si>
    <t>车号： 浙B81F88
司机： 付兴海
托架号： 浙B88VU挂
驾驶员手机： 15968926588
装箱地点： 嵊州剡湖
身份证：          341226197712252333</t>
  </si>
  <si>
    <t>车号： 浙B5Q132
司机： 谢正华
托架号： 浙B150M挂
驾驶员手机： 13296828339
装箱地点： 嵊州剡湖
身份证号码34112419780102701</t>
  </si>
  <si>
    <t xml:space="preserve"> 车号： 浙B2X885
司机： 胡厚军
托架号： 浙B991P挂
驾驶员手机： 13956287630
装箱地点： 嵊州剡湖
身份证：341004197603280037</t>
  </si>
  <si>
    <t>车号： 浙B2H029
司机： 黄发水
托架号： 浙B168R挂
驾驶员手机： 13955004691
装箱地点： 嵊州剡湖
 身份证：341124197812246039</t>
  </si>
  <si>
    <t>车号： 浙B3L100
司机： 严定文
托架号： 浙B599L挂
驾驶员手机： 15606686179</t>
  </si>
  <si>
    <t>车号： 浙B2H029
司机： 黄发水
托架号： 浙B168R挂
驾驶员手机： 13955004691
装箱地点： 嵊州剡湖
身份证：341124197812246039</t>
  </si>
  <si>
    <t>Synergy Industriez</t>
  </si>
  <si>
    <t>车号： 浙B6V880
司机： 李奎伍
托架号： 浙B1620挂
驾驶员手机： 13221935198
装箱地点： 嵊州剡湖
身份证：341126197301116032</t>
  </si>
  <si>
    <t>车号： 浙B7K653
司机： 岳福坤
托架号： 浙B9Z87挂
驾驶员手机： 15397736508
装箱地点： 嵊州剡湖
身份证: 513027197708277633</t>
  </si>
  <si>
    <t>车号： 浙B2L600
司机： 徐明
托架号： 浙B579U挂
驾驶员手机： 13685703550
装箱地点： 嵊州剡湖
身份证 411526199002021630</t>
  </si>
  <si>
    <t>车号： 浙B0Z535
司机： 吴鹏
驾驶员手机： 15726830838
装箱地点： 嵊州剡湖
身份证号码：340823199609162518</t>
  </si>
  <si>
    <t>车号： 浙B6M365
司机： 付彬
托架号： 浙BOX09挂
驾驶员手机： 15726830365
装箱地点： 嵊州剡湖
身份证 341226199210052330</t>
  </si>
  <si>
    <t>车号： 浙B1T565
司机： 王辉
托架号： 浙B111H挂
驾驶员手机： 13250939801
装箱地点： 嵊州剡湖
身份证号码：34122619751013673</t>
  </si>
  <si>
    <t>车号： 浙B5Q132
挂车号牌： 浙B150M
司机：谢正华  
身份证号码341124197801027017</t>
  </si>
  <si>
    <t>浙B3L100 /浙B599L挂 
司机： 严定文 
驾驶员手机： 15606686179  
身份证：429006196707240334</t>
  </si>
  <si>
    <t>浙B6V880  浙B1620挂
司机： 李奎伍
驾驶员手机： 13221935198 
身份证：341126197301116032</t>
  </si>
  <si>
    <t>车号: 　　　　　浙B5N529
司机: 　　　　　赵玉华
驾驶员手机: 　　15158348477
装箱地点： 嵊州剡湖
身份证号码：511021197110065230</t>
  </si>
  <si>
    <t>车号: 　　　　　浙B5N165
司机: 　　　　　杜全新
驾驶员手机: 　　13598653313
装箱地点： 嵊州剡湖
身份证号码：410782197704243774</t>
  </si>
  <si>
    <t>车号: 　　　　　浙B5P551
司机: 　　　　　赵万会
身份证：412932197611223212
驾驶员手机: 　　13598201667</t>
  </si>
  <si>
    <t>车号: 　　　　　浙B7J152
司机: 　　　　　陈行
身份证：412822199109026572
驾驶员手机: 　　13915243083</t>
  </si>
  <si>
    <t>车牌：浙FW7R19
司机：郑名明
电话：17306516707
身份证：522127199609272533</t>
  </si>
  <si>
    <t xml:space="preserve">孙氏物流
</t>
  </si>
  <si>
    <t>车号： 浙B6X315
司机： 黄华
托架号： 浙B9W72挂
驾驶员手机： 15375021818
身份证：34112419810712601X</t>
  </si>
  <si>
    <t>车号： 浙B7K653
司机： 岳福坤
托架号： 浙B9Z87挂
驾驶员手机： 15397736508
身份证：513027197708277633</t>
  </si>
  <si>
    <t>车号： 浙B3L100
司机： 严定文
托架号： 浙B599L挂
驾驶员手机： 15606686179
身份证：429006196707240334</t>
  </si>
  <si>
    <t>ZJCHDW-20260723-035-1</t>
  </si>
  <si>
    <t>车号： 浙B6M333
司机： 陈保超
托架号： 浙B0Z67挂
驾驶员手机： 18606877698
装箱地点： 嵊州剡湖
身份证：342128197304151793</t>
  </si>
  <si>
    <t>车号： 浙B2L600
司机： 徐明
托架号： 浙B579U挂
驾驶员手机： 13685703550
装箱地点： 嵊州剡湖
 身份证  411526199002021630</t>
  </si>
  <si>
    <t>车号： 浙B1T565
司机： 王辉
托架号： 浙B111H挂
驾驶员手机： 13250939801
装箱地点： 嵊州剡湖
身份证 34122619751013673X</t>
  </si>
  <si>
    <t>车号：浙B6T119
司机：鲁坤坤
驾驶员手机：18667867181
身份证：412728198509150319</t>
  </si>
  <si>
    <t>车号：浙B2S116
司机：杜海军
驾驶员手机：15557079966
身份证：412728198611153452</t>
  </si>
  <si>
    <t xml:space="preserve">车号：浙B3Q660
司机：邵海燕
驾驶员手机：15658225828  
身份证：412702198109106112  </t>
  </si>
  <si>
    <t>车号：浙B2R529
司机 ：时敬
驾驶员手机：18601668582
身份证：412702197201206058</t>
  </si>
  <si>
    <t>ZJCHDW-20260723-035-2</t>
  </si>
  <si>
    <t>车号： 浙B2H029
司机： 黄发水
托架号： 浙B168R挂
驾驶员手机： 13955004691
装箱地点： 嵊州剡湖
身份证号码： 341124197812246039</t>
  </si>
  <si>
    <t>车号： 浙B7K653
司机： 岳福坤
托架号： 浙B9Z87挂
驾驶员手机： 15397736508
装箱地点： 嵊州剡湖
身份证：513027197708277633</t>
  </si>
  <si>
    <t>车号： 浙B0Z535 
司机： 吴鹏 
驾驶员手机： 15726830838
装箱地点： 嵊州剡湖
身份证号码：340823199609162518</t>
  </si>
  <si>
    <t>宁波汇盟国际物流有限公司</t>
  </si>
  <si>
    <t>车号: 　　　　　浙B3U919
司机: 　　　　　陈发昌
驾驶员手机: 　　13035458811
身份证341126198206057331</t>
  </si>
  <si>
    <t>车号： 浙B3M256
司机： 高桂友
驾驶员手机： 18968397361　
身份证：341226196910056718</t>
  </si>
  <si>
    <t xml:space="preserve">宁波汇盟国际物流有限公司 </t>
  </si>
  <si>
    <t>车号： 浙B0Z535
司机： 吴鹏
驾驶员手机： 15726830838　
身份证：340823199609162518</t>
  </si>
  <si>
    <t>ZJCHDW-20260811-042-1</t>
  </si>
  <si>
    <t>宁波博海国际物流公司</t>
  </si>
  <si>
    <t>车号 浙B5Q132
挂车号牌 浙B150M谢正华  
身份证号码341124197801027017</t>
  </si>
  <si>
    <t>浙B6M333/浙B0Z67挂/18606877698    陈保超/
身份证：342128197304151793</t>
  </si>
  <si>
    <t>车号： 浙B2H029  浙B168R挂
司机： 黄发水 
驾驶员手机： 13955004691
身份证号码341124197812246039</t>
  </si>
  <si>
    <t>车号：浙B0L757
司机：周经盅
手机：18667854396
身份证：340121197108105531</t>
  </si>
  <si>
    <t>POLYNOMOUS INDUSTRIES PRIVATE LIMITED</t>
  </si>
  <si>
    <t>ZJCHDW-20260811-042-2</t>
  </si>
  <si>
    <t>车号：浙B6X299
司机：方远建
驾驶员手机：15728056613
身份证号码：510281198308161755</t>
  </si>
  <si>
    <t>车号：浙B3M687
司机：崔海赵
驾驶员手机：18969401024
身份证号码：341126198510036711</t>
  </si>
  <si>
    <t>ZJCHDW-20260911-045</t>
  </si>
  <si>
    <t>车号： 浙B3H367
司机： 陈伟伟
驾驶员手机： 15558354923
身份证：320922198310234215</t>
  </si>
  <si>
    <t>车号： 浙B2G125
司机： 韩敏
驾驶员手机： 15005841902
身份证：510824198910058377</t>
  </si>
  <si>
    <t>司机：张立瑞
车牌号：浙B0T579
驾驶员手机：15855523736
身份证号： 340322198907193015</t>
  </si>
  <si>
    <t>上海格骐国际货运代理有限公司宁波分公司</t>
  </si>
  <si>
    <t>ZJCHDW-20261012-049-1</t>
  </si>
  <si>
    <t>1000公斤吨包带托盘)</t>
  </si>
  <si>
    <t>车号 ：浙B5Q132  
挂车：浙B150M 挂
司机：   谢正华
驾驶员手机：   13296828339
身份证： 341124197801027017</t>
  </si>
  <si>
    <t>应收款（人民币）</t>
  </si>
  <si>
    <t>佣金总价</t>
  </si>
  <si>
    <t>PREMIUM POLYALLOYS LIMITED</t>
  </si>
  <si>
    <t>CMTRL-XS-20260428-0002</t>
  </si>
  <si>
    <t>SAN 2800</t>
  </si>
  <si>
    <t>25公斤小包散装</t>
  </si>
  <si>
    <t>CMTRL-XS-20260506-0001</t>
  </si>
  <si>
    <t>SAN 4800</t>
  </si>
  <si>
    <t>HIPS-CH612</t>
  </si>
  <si>
    <t>MABS CT2010</t>
  </si>
  <si>
    <t>VINAYAK AGNIPEAK LLP</t>
  </si>
  <si>
    <t>CMTRL-XS-20260803-0001</t>
  </si>
  <si>
    <t>SAN 900</t>
  </si>
  <si>
    <t>K.L.J. POLYMERS PRIVATE LIMITED</t>
  </si>
  <si>
    <t>CMTRL-XS-20260112-0003</t>
  </si>
  <si>
    <t>AMLON POLYMERS</t>
  </si>
  <si>
    <t>CMTRL-XS-20260112-0005</t>
  </si>
  <si>
    <t>QINZHOU</t>
  </si>
  <si>
    <t>ALPEX JOINT STOCK COMPANY</t>
  </si>
  <si>
    <t>CMTRL-XS-20260113-0002</t>
  </si>
  <si>
    <t>TAIWAN TONGZEWANG INDUSTRY CO., LTD.</t>
  </si>
  <si>
    <t>CMTRL-XS-20260114-0001</t>
  </si>
  <si>
    <t>炭黑 N660</t>
  </si>
  <si>
    <t>500kg吨包，带托盘</t>
  </si>
  <si>
    <t>炭黑 N220</t>
  </si>
  <si>
    <t>刘希雅</t>
  </si>
  <si>
    <t>CMTRL-XS-20260116-0001</t>
  </si>
  <si>
    <t>25公斤小包带托盘</t>
  </si>
  <si>
    <t>ZHI YUE XIAN (VIETNAM) CO., LTD</t>
  </si>
  <si>
    <t>CMTRL-XS-20260305-0011</t>
  </si>
  <si>
    <t>CMTRL-XS-20260310-0001</t>
  </si>
  <si>
    <t>炭黑 N330</t>
  </si>
  <si>
    <t>1000kg 吨袋</t>
  </si>
  <si>
    <t>CMTRL-XS-20260313-0001 </t>
  </si>
  <si>
    <t>炭黑 N326</t>
  </si>
  <si>
    <t>炭黑 N550</t>
  </si>
  <si>
    <t>鏵塑股份有限公司ULTRATEC PLASTICS CO.,LTD.</t>
  </si>
  <si>
    <t>CMTRL-XS-20260318-0002</t>
  </si>
  <si>
    <t>Keelung</t>
  </si>
  <si>
    <t>PT POLYMERS INDIA LLP</t>
  </si>
  <si>
    <t>CMTRL-XS-20260320-0001</t>
  </si>
  <si>
    <t>BILLION ASCENT INDUSTRIAL LIMITED</t>
  </si>
  <si>
    <t>CMTRL-XS-20260323-0001</t>
  </si>
  <si>
    <t>AYDIN PLASTIK TURIZM INS. SAN. VE TIC. LTD. STI</t>
  </si>
  <si>
    <t>CMTRL-XS-20260326-0001</t>
  </si>
  <si>
    <t>CMTRL-XS-20260330-0001</t>
  </si>
  <si>
    <t>CMTRL-XS-20260331-0001</t>
  </si>
  <si>
    <t>CMTRL-XS-20260331-0002</t>
  </si>
  <si>
    <t>CMTRL-XS-20260408-0001</t>
  </si>
  <si>
    <t>CMTRL-XS-20260409-0001</t>
  </si>
  <si>
    <t>LC30</t>
  </si>
  <si>
    <t>PT. Planet Chemicals</t>
  </si>
  <si>
    <t>CMTRL-XS-20260416-0001</t>
  </si>
  <si>
    <t>Jakarta</t>
  </si>
  <si>
    <t>MOZZKULL INTERNATIONAL LIMITED</t>
  </si>
  <si>
    <t>CMTRL-XS-20260416-0002</t>
  </si>
  <si>
    <t>PRIME POLYMART PRIVATE LIMITED</t>
  </si>
  <si>
    <t>CMTRL-XS-20260429-0001</t>
  </si>
  <si>
    <t>CMTRL-XS-20260508-0001</t>
  </si>
  <si>
    <t>CMTRL-XS-20260511-0001</t>
  </si>
  <si>
    <t>宁波鹿鸣供应链管理有限公司</t>
  </si>
  <si>
    <t>CMTRL-XS-20260514-0004</t>
  </si>
  <si>
    <t>连云港仓库</t>
  </si>
  <si>
    <t>CMTRL-XS-20260518-0001</t>
  </si>
  <si>
    <t>CMTRL-XS-20260519-0001</t>
  </si>
  <si>
    <t>CMTRL-XS-20260520-0006</t>
  </si>
  <si>
    <t>广东探月者航空器材有限公司</t>
  </si>
  <si>
    <t>GXCG-XS-20260520-0003</t>
  </si>
  <si>
    <t>CMTRL-XS-20260527-0001</t>
  </si>
  <si>
    <t>CMTRL-XS-20260629-0002</t>
  </si>
  <si>
    <t>HIPS-CH310</t>
  </si>
  <si>
    <t>CMTRL-XS-20260630-0003</t>
  </si>
  <si>
    <t>PENTAPLAST SRL</t>
  </si>
  <si>
    <t>CMTRL-XS-20260630-0005</t>
  </si>
  <si>
    <t>CMTRL-XS-20260709-0002</t>
  </si>
  <si>
    <t>CMTRL-XS-20260714-0010</t>
  </si>
  <si>
    <t>CMTRL-XS-20260715-0001</t>
  </si>
  <si>
    <t>CMTRL-XS-20260715-0003</t>
  </si>
  <si>
    <t>CMTRL-XS-20260716-0001</t>
  </si>
  <si>
    <t>CMTRL-XS-20260723-0001</t>
  </si>
  <si>
    <t>CMTRL-XS-20260723-0004</t>
  </si>
  <si>
    <t>CMTRL-XS-20260731-0001</t>
  </si>
  <si>
    <t>CMTRL-XS-20260731-0005</t>
  </si>
  <si>
    <t>本合同申请抵扣25年闭环合同，佣金共计1712.5美元，长科25年外销合同尾号（1030-0004，1111-0007，1216-0001），抵扣后本合同总金额107737.50美金。</t>
  </si>
  <si>
    <t>刘丝雨</t>
  </si>
  <si>
    <t>VRIDDHI PETROCHEMICALS</t>
  </si>
  <si>
    <t>CMTRL-20260804-001</t>
  </si>
  <si>
    <t>CMTRL-20260805-002</t>
  </si>
  <si>
    <t>FIREMAX(CAMBODIA) TIRES CO.. LTD</t>
  </si>
  <si>
    <t>CMTRL-20260806-003</t>
  </si>
  <si>
    <t>PHUOC AN/ HOCHIMINH</t>
  </si>
  <si>
    <t>CMTRL-20260811-004</t>
  </si>
  <si>
    <t>SUNPLAST ELECTRONICS PVT.LTD</t>
  </si>
  <si>
    <t>CMTRL-20260811-005</t>
  </si>
  <si>
    <t>CMTRL-20260811-006</t>
  </si>
  <si>
    <t>CMTRL-20260812-007</t>
  </si>
  <si>
    <t>CMTRL-20260812-008</t>
  </si>
  <si>
    <t>NJ POWER LLP</t>
  </si>
  <si>
    <t>CMTRL-20260812-009</t>
  </si>
  <si>
    <t>CMTRL-20260814-010</t>
  </si>
  <si>
    <t>800kg带托盘</t>
  </si>
  <si>
    <t>20 TT
80 LC90</t>
  </si>
  <si>
    <t>CMTRL-20260814-011</t>
  </si>
  <si>
    <t>DIRCO POLYMERS PRIVATE LIMITD</t>
  </si>
  <si>
    <t>CMTRL-20260814-012</t>
  </si>
  <si>
    <t>CMTRL-20260819-013</t>
  </si>
  <si>
    <t>CMTRL-20260820-014</t>
  </si>
  <si>
    <t>CMTRL-20260825-015</t>
  </si>
  <si>
    <t>CMTRL-20260825-016</t>
  </si>
  <si>
    <t xml:space="preserve">Synergy Industries </t>
  </si>
  <si>
    <t>CMTRL-20260825-017</t>
  </si>
  <si>
    <t>JJ PLASTALLOY PRIVATE LIMITED</t>
  </si>
  <si>
    <t>CMTRL-20260825-018</t>
  </si>
  <si>
    <t>CMTRL-XS-20260826-0003</t>
  </si>
  <si>
    <t>CMTRL-20260828-019</t>
  </si>
  <si>
    <t>CMTRL-20260828-020</t>
  </si>
  <si>
    <t>惠州市尹纯环保科技有限公司</t>
  </si>
  <si>
    <t>CMTRL-XS-20260907-0001</t>
  </si>
  <si>
    <t>惠州</t>
  </si>
  <si>
    <t>CMTRL-20260922-021</t>
  </si>
  <si>
    <t>CMTRL-20260924-022</t>
  </si>
  <si>
    <t>DIRCO  POLYMERS PVT LTD</t>
  </si>
  <si>
    <t>CMTRL-20260930-023</t>
  </si>
  <si>
    <t>SUNPLAST ELECTRONICS PRIVATE LIMITED</t>
  </si>
  <si>
    <t>CMTRL-20260930-024</t>
  </si>
  <si>
    <t>CMTRL-20260930-025</t>
  </si>
  <si>
    <t>CMTRL-20261008-026</t>
  </si>
  <si>
    <t>何欣润</t>
  </si>
  <si>
    <t>CMTRL-20261010-027</t>
  </si>
  <si>
    <t>CMTRL-20261015-028</t>
  </si>
  <si>
    <t>CMTRL-20261015-029</t>
  </si>
  <si>
    <t>CMTRL-20261015-030</t>
  </si>
  <si>
    <t>CMTRL-20261020-031</t>
  </si>
  <si>
    <t>同时因美金服务费支付不便，本合同申请抵扣25及26年闭环合同，佣金共计1650美元，长科25年外销合同尾号（1225-0001）26年外销合同尾号（0112-0003；0112-0005），抵扣后本合同总金额88000美金。</t>
  </si>
  <si>
    <t>0002 预付款</t>
  </si>
  <si>
    <t>0002 尾款</t>
  </si>
  <si>
    <t>0001 全款</t>
  </si>
  <si>
    <t>0011 全款</t>
  </si>
  <si>
    <t>0002 全款</t>
  </si>
  <si>
    <t>0001 预付</t>
  </si>
  <si>
    <t>0001 货款</t>
  </si>
  <si>
    <t>CMTRL-XS-20260313-0001</t>
  </si>
  <si>
    <t>0001  30%预付款</t>
  </si>
  <si>
    <t>货款</t>
  </si>
  <si>
    <t>全款</t>
  </si>
  <si>
    <t>70%尾款</t>
  </si>
  <si>
    <t>SAMSUNG CT CORPORATION</t>
  </si>
  <si>
    <t>340吨货款</t>
  </si>
  <si>
    <t>CMTRL-XS-20260320-0001-2</t>
  </si>
  <si>
    <t>CMTRL-XS-20260320-0001-3</t>
  </si>
  <si>
    <t>30%预付款</t>
  </si>
  <si>
    <t>27 吨 ，90% 货款</t>
  </si>
  <si>
    <t>54 吨100% 货款</t>
  </si>
  <si>
    <t>CMTRL-XS-20260731-0005-1</t>
  </si>
  <si>
    <t>CMTRL-XS-20260731-0005-2</t>
  </si>
  <si>
    <t>CMTRL-XS-20260731-0005-3</t>
  </si>
  <si>
    <t>54 吨货款</t>
  </si>
  <si>
    <t>27 吨货款</t>
  </si>
  <si>
    <t>003 全款</t>
  </si>
  <si>
    <t>006-1 20%预付</t>
  </si>
  <si>
    <t>006-2 20%预付</t>
  </si>
  <si>
    <t>30%预付款 (38美金手续费）</t>
  </si>
  <si>
    <t>27吨，90% 尾款</t>
  </si>
  <si>
    <t>尾款</t>
  </si>
  <si>
    <t>30%预付 (38美金手续费）</t>
  </si>
  <si>
    <t xml:space="preserve"> 27 吨，90% 尾款</t>
  </si>
  <si>
    <t>80%尾款（水单：28690）</t>
  </si>
  <si>
    <t>30%预付 （原付款：11137.5）</t>
  </si>
  <si>
    <t xml:space="preserve">30%预付 </t>
  </si>
  <si>
    <t>70%尾款（43USD手续费）</t>
  </si>
  <si>
    <t>80%尾款（水单：28380）</t>
  </si>
  <si>
    <t>80%尾款（水单：29480）</t>
  </si>
  <si>
    <t>135吨 货款</t>
  </si>
  <si>
    <t>54吨</t>
  </si>
  <si>
    <t>车号，桂P53680
姓名：盘小龙
电话：13558000229
身份证：450923198710306738</t>
  </si>
  <si>
    <t>广西泛航国际物流有限公司</t>
  </si>
  <si>
    <t>TAIWAN TONGZEWANG INDUSTRY CO., LTD</t>
  </si>
  <si>
    <t>半吨包带托盘（logo包装）</t>
  </si>
  <si>
    <t>车牌：桂FQ2796
司机：李成付
电话：13277846690
证件：130427197001010634</t>
  </si>
  <si>
    <t xml:space="preserve">HIPS 612 </t>
  </si>
  <si>
    <t>25公斤小包带托盘（1.125吨/托）</t>
  </si>
  <si>
    <t>车号：桂NB1612
名字：李树林
电话：17878781612
身份证：450923198506027758</t>
  </si>
  <si>
    <t>桂P53680
盘小龙
13558000229
身份证：450923198710306738</t>
  </si>
  <si>
    <t>桂NB1612
名字：李树林
电话：17878781612
身份证：4509231985060277</t>
  </si>
  <si>
    <t>箱号:TCNU2787713
封号:ML-CN5351682</t>
  </si>
  <si>
    <t>车号1：桂NC8668
名字：许富金
电话：13977039933
身份证：450702198410154856</t>
  </si>
  <si>
    <t>箱号:HASU4989226
封号:ML-CN5351681</t>
  </si>
  <si>
    <t>车号 2：桂NC7839
名字：宁国杰
电话：18977701013
身份证:450702198007204817</t>
  </si>
  <si>
    <t>柜号：SDY09901966</t>
  </si>
  <si>
    <t>车牌：赣DJ8101
车挂：赖DY681挂
司机：丰建斌
电话：13878655950
身份证号：45212319741116581X</t>
  </si>
  <si>
    <t>东莞丽林达物流有限公司</t>
  </si>
  <si>
    <t>提单号：155600034016</t>
  </si>
  <si>
    <t>箱号：EGSU1648191
封号：EMCSYH0554</t>
  </si>
  <si>
    <t>车号：桂P82205
姓名：黄立保
身份证：450122197011044519
电话：13532697873</t>
  </si>
  <si>
    <t>箱号：TCLU8898785
封号：EMCSYH0584</t>
  </si>
  <si>
    <t>车号：桂P10238D                             
司机姓名：王锋
身份证：429003197404210037
电话：15271067939</t>
  </si>
  <si>
    <t>箱号：EGHU9560098
封号：EMCSYH0614</t>
  </si>
  <si>
    <t>桂P02820D                           
司机姓名：王家贵
身份证：452824197410185899
电话：18777766299</t>
  </si>
  <si>
    <t>箱号：GA0U6248510
封号：EMCSYH0694</t>
  </si>
  <si>
    <t>桂N08163D                              
司机姓名：杨金双
身份证：220322197906182419
电话：13530544375</t>
  </si>
  <si>
    <t>箱号：EGSU9513417
封号：EMCSYH0604</t>
  </si>
  <si>
    <t>桂P10238D                             
司机姓名：王锋
身份证：429003197404210037
电话：15271067939</t>
  </si>
  <si>
    <t>箱号：EGHU9786906
封号：EMCSYH0564</t>
  </si>
  <si>
    <t>桂P80805                           
司机姓名：刘大邦
身份证：450703199204201237
电话：17877277089</t>
  </si>
  <si>
    <t>箱号：EGHU9100533
封号：EMCSYH0594</t>
  </si>
  <si>
    <t>箱号：TGBU4663835
封号：EMCSYH0574</t>
  </si>
  <si>
    <t>箱号：TRHU7147780
封号：EMCSYH0654</t>
  </si>
  <si>
    <t>车号：桂P02820D
司机姓名：王家贵
身份证：452824197410185899
电话：18777766299</t>
  </si>
  <si>
    <t>箱号：EMCU8936328
封号：EMCSYH0634</t>
  </si>
  <si>
    <t>车号：桂N05876D
姓名：杨世旺
身份证号：450703198201282110
电话：18877705103</t>
  </si>
  <si>
    <t>箱号：EGSU1908895
封号：EMCSYH0664</t>
  </si>
  <si>
    <t>车号：桂N08163D                              
司机姓名：杨金双
身份证：220322197906182419
电话：13530544375</t>
  </si>
  <si>
    <t>柜号：EMCU1564527
铅封：EMCSYH0624</t>
  </si>
  <si>
    <t>车号：桂N02860D
姓名：黄高伟
身份证：45070219880513661X
电话：18207878199</t>
  </si>
  <si>
    <t>柜号：TLLU8637310
铅封：EMCSYH0684</t>
  </si>
  <si>
    <t>柜号：EMCU8728920
铅封：EMCSYH0644</t>
  </si>
  <si>
    <t>箱号：EGSU1776382
封号：EMCSYH0674</t>
  </si>
  <si>
    <t>鏵塑股份有限公司
ULTRATEC PLASTICS CO.,LTD.</t>
  </si>
  <si>
    <t>车号 ：桂NB8181
司机 :唐有明
电话:13667867517
身份证：452323198111191915</t>
  </si>
  <si>
    <t>提单号，155600042183</t>
  </si>
  <si>
    <t>箱号，EGSU9796662
封签，EMCSYN5194</t>
  </si>
  <si>
    <t>桂NC0900
名字：罗尚金
电话：18378871900
身份证：452730198410254774</t>
  </si>
  <si>
    <t>单号.155600042183</t>
  </si>
  <si>
    <t>箱号.EITU9205514
封号:EMCSYN5184</t>
  </si>
  <si>
    <t>沪DT6163
名字： 陈家桩
电话： 15007771145
身份证：450721198211255610</t>
  </si>
  <si>
    <t>提单号:155600042183</t>
  </si>
  <si>
    <t>箱号：GAOU6985841
封铅号:EMCSYN5954</t>
  </si>
  <si>
    <t>桂N92007
名字：唐玺
电话：18323764911
身份证：500234198310076238</t>
  </si>
  <si>
    <t>单号:COAU7267804610</t>
  </si>
  <si>
    <t>箱号TEMU6001355
封号SYA1042342</t>
  </si>
  <si>
    <t>车号1:桂NE0200         
姓名：李香武
电话：17776002225
身份证:450923198410247756</t>
  </si>
  <si>
    <t>箱号CSNU8493285
封号NF502075</t>
  </si>
  <si>
    <t>车号2：桂ND7880
姓名:张国伟
电话:18877112201
身份证:450702199404035134</t>
  </si>
  <si>
    <t>提单号：155600034024</t>
  </si>
  <si>
    <t>箱号：TGBU6996877
封号：EMCSYN6634</t>
  </si>
  <si>
    <t>车号：桂P10238D                             
司机姓名：王锋
身份证：429003197404210037
电话：15271067939
提单号：155600034024</t>
  </si>
  <si>
    <t>箱号：EGHU9293788
封号：EMCSYN6654</t>
  </si>
  <si>
    <t>车号：桂P02820D                           
司机姓名：王家贵
身份证：452824197410185899
电话：18777766299
提单号：155600034024</t>
  </si>
  <si>
    <t>箱号：EITU1778340
封号：EMCSYN6624</t>
  </si>
  <si>
    <t>车号：桂N08163D                              
司机姓名：杨金双
身份证：220322197906182419
电话：13530544375
提单号：155600034024</t>
  </si>
  <si>
    <t>箱号：EITU9276760
封号：EMCSYN6614</t>
  </si>
  <si>
    <t>车号：桂N08306D
姓名： 梁广友
身份证号：452528198208301036
电话：18277517031</t>
  </si>
  <si>
    <t>箱号：EGHU9601480
封号：EMCSYN6604</t>
  </si>
  <si>
    <t>车号：桂P12681D
姓名：江华达
身份证：450702199803235117
电话：18777705053</t>
  </si>
  <si>
    <t>箱号：TRHU7849581
封号：EMCSYN6544</t>
  </si>
  <si>
    <t>姓名：何在锋
身份证：452702198303094773
电话：15307787987
提单号：155600034024</t>
  </si>
  <si>
    <t>车号：桂P09360D
姓名：蒙生宝        
身份证：45272719780424031
电话：13768284099</t>
  </si>
  <si>
    <t>箱号：TXGU7395533
封号：EMCSYN6554</t>
  </si>
  <si>
    <t>车号：桂P13596D
司机姓名：全大攀
身份证：452802197706148116
电话：13807774428</t>
  </si>
  <si>
    <t>提单号：155600034032</t>
  </si>
  <si>
    <t>箱号：MAGU5368659
封号：EMCSYN6564</t>
  </si>
  <si>
    <t>箱号：EGSU9393610
封号：EMCSYN6584</t>
  </si>
  <si>
    <t>车号：桂P06926D
姓名：陈永平
身份证：452802197506133358
电话：18177164466</t>
  </si>
  <si>
    <t>箱号：EMCU9949090
封号：EMCSYN6524</t>
  </si>
  <si>
    <t>车号：桂ND1085
姓名：袁智决
身份证：452226198909116635
电话：15278860772</t>
  </si>
  <si>
    <t>箱号：EGSU9423611
封号：EMCSYN6574</t>
  </si>
  <si>
    <t>箱号：EITU1670103
封号：EMCSYN6594</t>
  </si>
  <si>
    <t>车号：桂P13596D                          
司机姓名：全大攀
身份证：452802197706148116
电话：13807774428</t>
  </si>
  <si>
    <t>箱号：EGSU9263215
封号：EMCSYN6504</t>
  </si>
  <si>
    <t>箱号：EGSU6365527
封号：EMCSYN6514</t>
  </si>
  <si>
    <t>箱号:UETU5315609
封签号:NE209644</t>
  </si>
  <si>
    <t>车号:桂NC2156
司机:蒋小华
电话:18897665188
身份证号
452323197303172212</t>
  </si>
  <si>
    <t>箱号：CSNU5949875
封号:SYA1001914</t>
  </si>
  <si>
    <t>车牌：桂NB1539
姓名：谭华运
电话：13502119580
身份证:452728199003202718</t>
  </si>
  <si>
    <t>桂NC2156
司机:蒋小华
电话:18897665188
身份证号
452323197303172212</t>
  </si>
  <si>
    <t>桂P53680（27.5吨CN-4800）
名字：盘小龙
电话：13558000229
身份证：450923198710306738</t>
  </si>
  <si>
    <t>桂P08596（27.5吨CN-4800）
名字：盘宝聪
电话：15807707639
身份证：452528198302066714</t>
  </si>
  <si>
    <t>车号：桂P53680
司机：盘小龙
电话：13558000229
身份证：450923198710306738</t>
  </si>
  <si>
    <t>SITGQIHP076237</t>
  </si>
  <si>
    <t>箱号FFAU7430942
封号SITZ257776</t>
  </si>
  <si>
    <t>车号：桂NC8668
姓名：许富金
电话：13977039933
身份证：450702198410154856</t>
  </si>
  <si>
    <t>箱号：UETU7251355
封号：SITZ754600</t>
  </si>
  <si>
    <t>车号:桂NE0200         
姓名：李香武
电话：17776002225
身份证:450923198410247756</t>
  </si>
  <si>
    <t>SITGQISG076334</t>
  </si>
  <si>
    <t>箱号：SITU9209827
封号：SITZ374584</t>
  </si>
  <si>
    <t>车号：桂N99393
姓名：蓝毅
电话：19902185158
身份证：452731197606126039</t>
  </si>
  <si>
    <t>AYDIN PLASTIK TURIZM INSAAT SAN VE</t>
  </si>
  <si>
    <t>车号：桂N99393
名字：蓝  毅  
电话：19902185158
身份证：452731197606126039</t>
  </si>
  <si>
    <t>车号：桂NB1139  
名字：谭鸿毅
电话：13102108227 
身份证：452728198808163619</t>
  </si>
  <si>
    <t>车号：桂ND0169
姓名：黄瑞波
身份证：452802197509202750
电话：18277726326</t>
  </si>
  <si>
    <t>车号：桂P53680
盘小龙13558000229
身份证：450923198710306738
提单号：SITGQISG077365</t>
  </si>
  <si>
    <t>车号：桂P08596
盘宝聪15807707639
身份证：452528198302066714</t>
  </si>
  <si>
    <t>车号:桂NC2156
司机:蒋小华
电话:18897665188
身份证号:
452323197303172212</t>
  </si>
  <si>
    <t>车号：桂P53680
盘小龙13558000229
身份证：450923198710306738</t>
  </si>
  <si>
    <t>车牌号：桂N03027D
司机：冯生荣
手机：18877186336
身份证：45012219751103451X</t>
  </si>
  <si>
    <t>车牌号：桂N11711D
司机：梁立仕
电话：13877796681
身份证号：452802197508206637</t>
  </si>
  <si>
    <t>车号：桂N08230D
姓名：刘晋奎
电话：19127972967
身份证：452824197102052218</t>
  </si>
  <si>
    <t>车号:桂NE5611
名字:韦德权
电话:18977715303
证:452824197101161834</t>
  </si>
  <si>
    <t>桂N99393
 蓝  毅 13502119580 452731197606126039</t>
  </si>
  <si>
    <t xml:space="preserve">桂AN5970
 彭天送 15777746670 452123198102073115 </t>
  </si>
  <si>
    <t>桂NB1539 
谭华运 18978299897</t>
  </si>
  <si>
    <t>车号:桂NC1292
罗朝雄，电话15307788372
身份证452725197703210235</t>
  </si>
  <si>
    <t>车牌:桂KQ0568
挂车：桂KF575挂
司机:梁有静
身份证:450924198106114912
手机号:18277650806</t>
  </si>
  <si>
    <t>车号：桂P53680
盘小龙13558000229
身份证：45092319871030673</t>
  </si>
  <si>
    <t>车号 ：桂N98307
司机 : 谭 森
电话: 19902185158
身份证：450803198201056733</t>
  </si>
  <si>
    <t>高少普
18437975111
410323199103065535
豫C97139</t>
  </si>
  <si>
    <t>车号:桂P08928D
司机:韦高雄
身份证:452729199602130871
电话:19977848178</t>
  </si>
  <si>
    <t>车号:桂P02820D
司机:王家贵
身份证:452824197410185899
电话:18777766299</t>
  </si>
  <si>
    <t>车号:桂NE5611
名字:韦德权
电话:18977715303
身份证: 452824197101161834</t>
  </si>
  <si>
    <t>车号：桂NE9079
挂车  桂NC073挂
名字：梁显隆
电话：15107776211
身份证450702198611296631</t>
  </si>
  <si>
    <t>ZHI YUE XIAN (VIETNAM) CO., LTD/Công ty TNHH Nhựa Chính Xác Zhi Yue Xian ( Việt Nam )</t>
  </si>
  <si>
    <t>车牌：桂C38082
车挂：桂H2515挂
司机：蒋元华
电话：18277330595
身份证号：450325198608080912</t>
  </si>
  <si>
    <t>车号：桂AN5970 
司机：彭天送
电话 19902185158 
身份证：452123198102073115</t>
  </si>
  <si>
    <t>车号:桂P09360D
司机:蒙生宝
身份证:452727197804240313
电话:13768284099</t>
  </si>
  <si>
    <t>车号:桂P06201D
司机:黄朝仁
身份证:45212219920203455X
电话:15377857012</t>
  </si>
  <si>
    <t>车号:桂N00106D
司机:吕瑞新
身份证:450481198707152033
电话:17774772011</t>
  </si>
  <si>
    <t>车号        桂N08163D
司机        杨金双
身份证        220322197906182419
电话        13530544375</t>
  </si>
  <si>
    <t>车号        桂P06201D
司机        黄朝仁
身份证        45212219920203455X
电话        15377857012</t>
  </si>
  <si>
    <t>车号        桂N00106D
司机        吕瑞新
身份证        450481198707152033
电话        17774772011</t>
  </si>
  <si>
    <t>车号:桂ND5825
司机:李中柱
身份证:452802197909090030
电话:15078911262</t>
  </si>
  <si>
    <t>车号:桂P50633
司机:郭镇升
身份证:450703198707012732
电话:18897670867</t>
  </si>
  <si>
    <t>车号:桂ND1085
司机:袁智决
身份证:452226198909116635
电话:15278860772</t>
  </si>
  <si>
    <t>车号:桂P10238D
司机:王 锋
身份证:429003197404210037
电话:15271067939</t>
  </si>
  <si>
    <t>车号：桂NC6633  
姓名：王廷坚     
身份证号452802197511293911
电话：15878961280</t>
  </si>
  <si>
    <t>车号:桂P02936D
司机:庞学友
身份证:450902199310056250
电话:18907753562</t>
  </si>
  <si>
    <t>车号:桂N08163D
司机:杨金双
身份证:220322197906182419
电话:13530544375</t>
  </si>
  <si>
    <t>车号:桂P50621
司机:覃晓
身份证:452731197409090911
电话:18775865821</t>
  </si>
  <si>
    <t>车号:桂P03683
司机:陆华伞
身份证:452731198312040939
电话:15289653846</t>
  </si>
  <si>
    <t>车号:桂P80982
司机:韦柱峰
身份证: 45220119811111043X 
电话:15677794152</t>
  </si>
  <si>
    <t>车号:桂N08306D 
司机:梁广友
身份证:452528198208301036
电话:18277517031</t>
  </si>
  <si>
    <t>车号:桂NC3611
司机:覃志绘
身份证:452724198201092855
电话:15807882685</t>
  </si>
  <si>
    <t>车号:桂ND0130
司机:容润兴
身份证:450722198805251138
电话:18207774688</t>
  </si>
  <si>
    <t>车号:桂N08306D
司机:梁广友
身份证:452528198208301036
电话:18277517031</t>
  </si>
  <si>
    <t>车号:桂NC6100
司机:李生保
身份证:452730198403273512
电话:18278136693</t>
  </si>
  <si>
    <t>车号:桂P02806D
司机: 宁佳
身份证:450721198202176355
电话:13307874545</t>
  </si>
  <si>
    <t>柜号:TCKU6193130
铅封号:SITZ880407</t>
  </si>
  <si>
    <t>柜号:FFAU7696589
铅封:SITZ880404</t>
  </si>
  <si>
    <t>车号:桂NC6582
司机:梁绍锋
身份证:452802197203243031
电话:13877740196</t>
  </si>
  <si>
    <t>柜号:HPCU5262652
铅封号:SITZ880408</t>
  </si>
  <si>
    <t>柜号:FFU5350067
铅封号:SITZ880405</t>
  </si>
  <si>
    <t>粤H03036D 粤H9698挂
司机：张永华
电话：13457721505
身份证：450521197611082530</t>
  </si>
  <si>
    <t>广西奥利吉国际物流有限公司</t>
  </si>
  <si>
    <t>车号2：桂N11738D，挂：桂NCT36挂
司机：翁松锦
电话：13457704078
身份证：452802196908255177</t>
  </si>
  <si>
    <t xml:space="preserve">HIPS 310 </t>
  </si>
  <si>
    <t>车牌：宁E95869
车挂：甘LA989挂
柜号：TGHU9973820
司机：马强
电话：13399339997
身份证号：622701198704053871</t>
  </si>
  <si>
    <t>车号:苏GN9239
姓名/电话：范康/15195722242
身份证号：320723197708286016</t>
  </si>
  <si>
    <t>货之邦物流</t>
  </si>
  <si>
    <t>车号:豫KD31029
姓名/电话：肖守峰/19293742083
身份证号：411023198109274514</t>
  </si>
  <si>
    <t>柜号: FFAU4301767
封签号:  SITZ257183</t>
  </si>
  <si>
    <t>车牌号：桂NB8032
挂车号：桂NR562挂
司机：林斌
电话：13102108227
身份证：45020319710329073X</t>
  </si>
  <si>
    <t>柜号：FFAU7555410
铅封：SITZ756943</t>
  </si>
  <si>
    <t>车牌号：桂NC1793 
挂车号：桂AL193挂
司机：蓝冬明
电话：13163060872
身份证：452123198509233133</t>
  </si>
  <si>
    <t>柜号FFAU6201793
封号SITZ381927</t>
  </si>
  <si>
    <t>车牌号：桂N97983
司机：李志权
电话：13502119580 
身份证：452522197210210835</t>
  </si>
  <si>
    <t>桂NE7607  桂NCM19挂
姓名：马红波
电话：15296102463
身份证：230105197601261313</t>
  </si>
  <si>
    <t>车号:桂NE6208桂NM196挂司机:何雅业电话:18778766478身份证:450721198401254416</t>
  </si>
  <si>
    <t>桂NC3373 桂NV220挂
姓名：丁忠平 
身份证：450721198701042212 
电话：15107801430</t>
  </si>
  <si>
    <t>车牌号2：粤H03036D
挂车号：粤H9698挂
司机：张永华
电话：13457721505
身份证：450521197611082530</t>
  </si>
  <si>
    <t>车牌号1:粤H09957D
挂车号:粤H9539挂
司机：钟厚昌
电话：13647776588
身份证：452802197811153910</t>
  </si>
  <si>
    <t>车牌号：桂NE5611
司机：韦德权
电话：18977715303 
身份证：452824197101161834</t>
  </si>
  <si>
    <t>广西泛航国际物流有限公司 </t>
  </si>
  <si>
    <t>提单号:SITGQISG080989</t>
  </si>
  <si>
    <t>箱号：FFAU1135343
铅封:SITD766875</t>
  </si>
  <si>
    <t>车号：桂NE1685
司机：谭 旭 
电话  13752285222
身份证： 452728198803172735</t>
  </si>
  <si>
    <t>车牌号：桂N99393 
司机：蓝毅
电话：13502119580  
身份证：452731197606126039</t>
  </si>
  <si>
    <t>车牌号:桂N97983 
司机:李志权
电话:13102108227 
身份证:452522197210210835</t>
  </si>
  <si>
    <t>车牌号:桂N97986
司机:黄家南
电话:13821718365 
身份证:45273119750320601X
宁波鹏信国际货运代理有限公司</t>
  </si>
  <si>
    <t>车号：桂P08596
盘宝聪15807707639
身份证：45252819830206714</t>
  </si>
  <si>
    <t>HIPS 612</t>
  </si>
  <si>
    <t xml:space="preserve">柜号:OOCU7568647
铅封号:SYA0926490
</t>
  </si>
  <si>
    <t>车号:桂ND7395
司机:黄永华
身份证:452526196912034515
电话:13377358403</t>
  </si>
  <si>
    <t>柜号:TRHU4645440
铅封:NK936099</t>
  </si>
  <si>
    <t>车号:桂N03860D
司机:韦保杰
身份证:450222199008102110
电话:18276769797</t>
  </si>
  <si>
    <t>柜号:CSGU6402158
铅封号:NK936114</t>
  </si>
  <si>
    <t>车号:桂P06926D
司机:陈永平
身份证:452802197506133358
电话:18177164466</t>
  </si>
  <si>
    <t>柜号:TRHU8550527
铅封号:SYA0926491</t>
  </si>
  <si>
    <t>车号:桂ND5850
司机:陈龙
身份证:45050119731001001X
电话:13977981456</t>
  </si>
  <si>
    <t>柜号:TIIU5936379
铅封号:NK936098</t>
  </si>
  <si>
    <t>车号:桂N03280D
司机:杨祖海
身份证:450702199306296015
电话:15878938669</t>
  </si>
  <si>
    <t>车号：桂N97983 
姓名：李志权 
电话：13877779238 
身份证：452522197210210835</t>
  </si>
  <si>
    <t>N660</t>
  </si>
  <si>
    <t>柜号：SITU9179595
铅封：SITZ880360</t>
  </si>
  <si>
    <t>车号1：桂NB8275+桂NR575挂
司机：黄崇军
身份证：452802197401295713
电话：13977795842</t>
  </si>
  <si>
    <t xml:space="preserve">柜号：FFAU8108102
铅封：SITZ756941
</t>
  </si>
  <si>
    <t>车号2：桂NC1793 桂AL193挂
司机：蓝冬明
身份证号：452123198509233133
电话：13978133288</t>
  </si>
  <si>
    <t>空柜号：FFAU7250853
铅封：SITZ757174</t>
  </si>
  <si>
    <t>车号3：桂NE7527+桂NT818挂
名字：黄新
证号：452132198612271513
电话：13457851077</t>
  </si>
  <si>
    <t>空柜号：HPCU5099930
铅封：SITZ757053</t>
  </si>
  <si>
    <t>车号4：桂N97030+桂NL810挂
司机：张蓬业
电话：18978930062
身份证：450703198208023015</t>
  </si>
  <si>
    <t>箱号：CAAU4914301
封号：SITZ759024</t>
  </si>
  <si>
    <t>车号5：桂NB3663 桂NG000挂
姓名：石忠勋 
电话：18777869178
身份证452725198503040213</t>
  </si>
  <si>
    <t>箱号：SEGU6680075
封号：SITZ876589</t>
  </si>
  <si>
    <t>桂N12815D
司机：杨祖龙
电话：18178799107
身份证号：450702199604206057</t>
  </si>
  <si>
    <t>箱号：SEGU6414012
铅封：SITZ764169</t>
  </si>
  <si>
    <t>车号2：桂N01593D 桂NDQ36挂
司机：黄冠元
电话：17707875935
身份证：45070219820310571X</t>
  </si>
  <si>
    <t>箱号:BMOU6465310
封号：SITZ750368</t>
  </si>
  <si>
    <t>车号5：桂P56805，桂NR868挂
姓名：韦秋宇
电话：18377228411
身份证：452226199806170318</t>
  </si>
  <si>
    <t>箱号:TCKU7160125
封号：SITZ880499</t>
  </si>
  <si>
    <t>车号7：桂NE8092  桂NZ011挂
姓名：宋韬
电话：13768584337
身份证：450103198010052512</t>
  </si>
  <si>
    <t>箱号:BMOU6851930
封号：SITZ759140</t>
  </si>
  <si>
    <t>车号8：桂NC9080   桂NCR96挂
姓名：黄小如
电话：18807777420
身份证：450702198505186615</t>
  </si>
  <si>
    <t>箱号:SEGU6624868
封号：SITZ76493</t>
  </si>
  <si>
    <t>车号9：桂P82270，桂P8503挂
姓名：周正乾
电话：13657702531
身份证：452725197502010915</t>
  </si>
  <si>
    <t>箱号:SEGU6705830
封号：SITZ875591</t>
  </si>
  <si>
    <t>车号6：桂NE7975 桂NY188挂                                   
姓名：阮勇
身份证452123197605251919
电话：15778862828</t>
  </si>
  <si>
    <t>箱号:SEGU6624214
封号：SITZ877168</t>
  </si>
  <si>
    <t>车号3：桂P56788 桂NCX00挂
姓名：宋毅
电话：18878940090
身份证：452123198303080717</t>
  </si>
  <si>
    <t>箱号:BMOU6474040
封号：SITZ256726</t>
  </si>
  <si>
    <t>车号4：桂NE7607  桂NCM19挂
姓名：马红波
电话：15296102463
身份证：230105197601261313</t>
  </si>
  <si>
    <t>CMTRL-20260811-006-1</t>
  </si>
  <si>
    <t>桂ND5183  挂车号:桂NCP85挂
黄胜:电话:15994606807
身份证号:450703198105053019</t>
  </si>
  <si>
    <t>CMTRL-20260811-006-2</t>
  </si>
  <si>
    <t>桂P81231 挂车:桂P5906挂 
司机名字:张以新 
电话:15977510655
身份证号:452524196510053657</t>
  </si>
  <si>
    <t>箱号:FFAU7746801
封号：SITZ764760</t>
  </si>
  <si>
    <t>车号1：桂P82270，桂P8503挂
姓名：周正乾
电话：13657702531
身份证：452725197502010915</t>
  </si>
  <si>
    <t xml:space="preserve">箱号:FFAU6110543
封号：SITZ875540
</t>
  </si>
  <si>
    <t xml:space="preserve">
车号4：桂NE7975 桂NY188挂                                   
姓名：阮勇
身份证452123197605251919
电话：15778862828</t>
  </si>
  <si>
    <t>箱号:FFAU7244336
封号：SITZ664786</t>
  </si>
  <si>
    <t xml:space="preserve">
车号3：桂NE7607  桂NCM19挂
姓名：马红波
电话：15296102463
身份证：23010519760126131</t>
  </si>
  <si>
    <t>箱号:FFAU8217886
封号：SITZ256789</t>
  </si>
  <si>
    <t xml:space="preserve">
车号6：桂NC3373 桂NV220挂
姓名：丁忠平 
身份证：450721198701042212 
电话：15107801430</t>
  </si>
  <si>
    <t>箱号：FFAU5282928
封号：SITZ877172</t>
  </si>
  <si>
    <t>车号5：桂NE6208  桂NM196挂
司机：何雅业
电话：18778766478
身份证：450721198401254416</t>
  </si>
  <si>
    <t>柜号：FFAU5112346
铅封：SITZ764129</t>
  </si>
  <si>
    <t>车牌号7：桂N12936D桂NAE38挂
司机：施海波
电话：13877745656
身份证：452824197705105358</t>
  </si>
  <si>
    <t>箱号：UETU7039515
封号：SITA046196</t>
  </si>
  <si>
    <t>车号2：桂ND9227，桂NP271挂
姓名：苏鹏
电话：18377083889
身份证：452423197407165012</t>
  </si>
  <si>
    <t>车牌号:桂NB9925 
司机:覃纲华
电话:13502119580  
身份证:452123198912301319</t>
  </si>
  <si>
    <t xml:space="preserve">车牌号:桂NE5629
司机:姚维昌
电话:13102108227   
身份证:450703198106272133 </t>
  </si>
  <si>
    <t>车牌号:桂NB6913 
司机:韦旭参
电话:17622396191    
身份证:452730198012122311</t>
  </si>
  <si>
    <t xml:space="preserve">车牌号:桂NE0376
司机:黄志才
电话:15822838514    
身份证:452226198003013314 </t>
  </si>
  <si>
    <t xml:space="preserve">车牌号:桂NB7170
司机:徐  泉 
电话:13821718365    
身份证:450205197511160419 </t>
  </si>
  <si>
    <t>SUNPLAST ELECTRONICS PVT.LTD.</t>
  </si>
  <si>
    <t>箱号:WHSU8427248
封签号:WHA4062237</t>
  </si>
  <si>
    <t>箱号:WHSU8441842
封号:WHA4062239</t>
  </si>
  <si>
    <t>车号：桂NC8812
名字：宁国烈 
电话：18977700947
身份证：450702198410154856
广西泛航国际物流有限公司</t>
  </si>
  <si>
    <t>D R Plasto</t>
  </si>
  <si>
    <t>车号:沪EE9059
姓名：罗日明 电话13307702940
身份证 452524197711084016</t>
  </si>
  <si>
    <t>车号：桂NC7839
名字：宁国杰
电话：18977701013
身份证：450702198007204817</t>
  </si>
  <si>
    <t>车牌：桂NE1910
姓名：黄寿锌
身份证：450703198312242437
手机号：13471754008</t>
  </si>
  <si>
    <t>车牌：桂NB1012
姓名：班付洪
身份证：452727198709250913
手机号：18775811465</t>
  </si>
  <si>
    <t>车牌号:桂NC2156
司机:蒋小华
电话:18897665188
身份证号:452323197303172212</t>
  </si>
  <si>
    <t>车牌号:桂P82270，桂P8503挂
司机:周正乾
电话:13657702531
身份证号:452725197502010915</t>
  </si>
  <si>
    <t xml:space="preserve">车牌号:桂NE0376 
司机:黄志才
电话:13502119580    
身份证:452226198003013314 </t>
  </si>
  <si>
    <t xml:space="preserve">车牌号:桂ND1102 
司机:黄忠华
电话:13102108227     
身份证:450703198604103332 </t>
  </si>
  <si>
    <t xml:space="preserve">车号：桂NE6699
车挂：桂NM798
司机:黄利基
电话:13502119580    
身份证:450703198608100999 </t>
  </si>
  <si>
    <t>车牌号:桂NE6333 
司机:黄廷经 
电话:13102108227
身份证:452802198002074213</t>
  </si>
  <si>
    <t>铅封:SITC403003
提单号:SITGQISG081887</t>
  </si>
  <si>
    <t>车牌：桂NE1685
姓名：谭旭
电话：17622396191
身份证：452728198803172735</t>
  </si>
  <si>
    <t>箱号：SITU9159958
铅封：SITZ657079</t>
  </si>
  <si>
    <t>桂N07206D
司机:唐德喜
电话：13877398738
身份证号：452323198402103719</t>
  </si>
  <si>
    <t>柜号：TIIU6141926
铅封：SITZ876586</t>
  </si>
  <si>
    <t>车号2：桂N11911D
司机：黄贤武
电话：19178763827
身份证：450703198506083016</t>
  </si>
  <si>
    <t>柜号：FFAU7782711
铅封：SITZ472817</t>
  </si>
  <si>
    <t>车号3：桂N00972D
司机：黄强
电话：15777745708
身份证：450721199807083076</t>
  </si>
  <si>
    <t>箱号：TIIU7941184
铅封：SITZ657190</t>
  </si>
  <si>
    <t>车号4：桂N11372D
司机:陈建府
电话：19897425281
身份证号：45070319880611243X</t>
  </si>
  <si>
    <t>箱号:FFAU8174300
封号：SITZ764753</t>
  </si>
  <si>
    <t>车号5：桂P82270，桂P8503挂
姓名：周正乾
电话：13657702531
身份证：452725197502010915</t>
  </si>
  <si>
    <t>800KG带托盘</t>
  </si>
  <si>
    <t>箱号;EITU1755730
铅封:EMCSYP2084</t>
  </si>
  <si>
    <t>车号:桂P56200
姓名：韦家校 
电话:13977743599
身份证 :452802197006126979</t>
  </si>
  <si>
    <t>箱号:EMCU9978082
铅封:EMCSYP1594</t>
  </si>
  <si>
    <t>车号：桂P81231
名字：张以新
电话：15977510655
身份证：452524196510053657</t>
  </si>
  <si>
    <t>箱号:EGSU1155298
铅封:EMCSYP2014</t>
  </si>
  <si>
    <t>车号：桂ND5183
名字：黄胜
电话：15994606807
身份证：450703198105053019</t>
  </si>
  <si>
    <t>箱号:EITU1958445
铅封:EMCSYP1584</t>
  </si>
  <si>
    <t>车号:桂NC3205
姓名：李昌忠 
电话:18748986912
身份证 :522321198601142513</t>
  </si>
  <si>
    <t>箱号:TGBU4594246
铅封:EMCSYP2001</t>
  </si>
  <si>
    <t>车号：桂NC0908
名字：黄瑞伟
电话：15878643398
身份证：452627199003140914</t>
  </si>
  <si>
    <t xml:space="preserve">箱号:TIIU4785386
铅封:EMCSYP2094
</t>
  </si>
  <si>
    <t>车号：桂P59952
名字：陈泽文
电话：13790397568
身份证：452527198909282337</t>
  </si>
  <si>
    <t>箱号：SITU9187950
铅封：SITZ764166</t>
  </si>
  <si>
    <t>车号：桂N01593D
挂车:桂NDQ36挂
司机：黄冠元
电话：17707875935
身份证：45070219820310571X</t>
  </si>
  <si>
    <t>柜号：SITU9196606
铅封：SITZ764101</t>
  </si>
  <si>
    <t>车号4：粤H08665D
挂车号：粤H8771挂
司机：吴贺信
电话：19127911527
身份证：450702199611054215</t>
  </si>
  <si>
    <t>柜号：SELU4431326
封签：SITZ764236</t>
  </si>
  <si>
    <t>车号1：桂N01388D
司机：周继雄
电话：18078486808
身份证：452229197906041839
企沙1</t>
  </si>
  <si>
    <t>柜号:  CAAU9878104
铅封:  SITZ764105</t>
  </si>
  <si>
    <t>车号2:粤H09189D
挂车号：粤H7807挂
司机：古雅根
电话：18577718908
身份证：450703198211301231</t>
  </si>
  <si>
    <t>箱号:TXGU7445660
封号:EMCSYP1114</t>
  </si>
  <si>
    <t>箱号:TXGU7767728
封号:EMCSYP1104</t>
  </si>
  <si>
    <t>车号：桂NC8812
名字：宁国烈 
电话：18977700947
身份证：450702198410154856</t>
  </si>
  <si>
    <t>柜号：SITU9157657
铅封：SITZ764342</t>
  </si>
  <si>
    <t>车号5：粤H09957D 粤H9539挂
司机：钟厚昌
电话：13647776588
身份证：452802197811153910</t>
  </si>
  <si>
    <t>DR PLASTO TECH PRIVATE LIMITED</t>
  </si>
  <si>
    <t>车号：桂NC8668
名字：许富金
电话：13977039933
身份证：452822197108163338</t>
  </si>
  <si>
    <t>车号：苏GE3022
车型：13米高栏
姓名；仲启坤
电话：18136561808
吨位：32吨
身份证号：320721198112010635</t>
  </si>
  <si>
    <t>车号：苏GD0111
车型：13米高栏
姓名；穆贵生
电话：13585293232
吨位：32吨
身份证号：320721198310212633</t>
  </si>
  <si>
    <t>箱号：TIIU4365634
封号：EMCSYP1124</t>
  </si>
  <si>
    <t>箱号:BSIU8033522
封号:EMCSYP1184</t>
  </si>
  <si>
    <t>车号：桂P08596
书记：盘宝聪
手机号：15807707639
身份证：45252819830206714</t>
  </si>
  <si>
    <t>车牌:桂KQ0568
挂车:桂KF575挂
 电话:18277650806
司机:梁有静
身份证:450924198106114912</t>
  </si>
  <si>
    <t>箱号：TXGU5759111
封号：EMCSYP1194</t>
  </si>
  <si>
    <t>箱号:TXGU5743882
铅封:EMCSYP2044</t>
  </si>
  <si>
    <t>箱号:EGHU9551882
铅封:EMCSYP2054</t>
  </si>
  <si>
    <t>箱号TGBU4002521
封条EMCSYP1174</t>
  </si>
  <si>
    <t>车号4:桂NB8181
司机:王金培
电话:13788508622，
身份证452127197901082115</t>
  </si>
  <si>
    <t>箱号EITU9384220
铅封EMCSYP1144</t>
  </si>
  <si>
    <t>车号5：桂ND0169
姓名：黄瑞波
身份证：452802197509202750
电话：18277726326</t>
  </si>
  <si>
    <t>箱号:EMCU8818900
封号：EMCSYP1134</t>
  </si>
  <si>
    <t>车号1:桂NB1612
名字:李树林
电话:17878781612
证:450923198506027758
单号：155600142234</t>
  </si>
  <si>
    <t>箱号：EITU9272390
封铅号：EMCSYP1164</t>
  </si>
  <si>
    <t>车号②：桂P53680
盘小龙13558000229
身份证：450923198710306738
提单号：155600142234</t>
  </si>
  <si>
    <t>箱号:EGHU9450130
封号:EMCSYP1154</t>
  </si>
  <si>
    <t>车号3：桂NC7839
名字：宁国杰
电话：18977701013
身份证：450702198007204817</t>
  </si>
  <si>
    <t>箱号：EGHU8431141
铅封：EMCSYP2034</t>
  </si>
  <si>
    <t xml:space="preserve">车牌号:桂N97983 
司机:李志权 
电话号:13502119580 
身份证:452522197210210835 </t>
  </si>
  <si>
    <t>箱号FDCU0267949
封条EMCHDS2776</t>
  </si>
  <si>
    <t>车号1：桂NB8181
司机：王金培
电话：13788508622
身份证452127197901082115</t>
  </si>
  <si>
    <t>箱号：TGBU8652171
封铅号：EMCHDS2756</t>
  </si>
  <si>
    <t>车号2：桂P08596
盘宝聪15807707639
身份证：45252819830206714</t>
  </si>
  <si>
    <t>箱号TGBU5939276
铅封EMCHDS2746</t>
  </si>
  <si>
    <t>车号3：桂ND0169
姓名：黄瑞波
身份证：452802197509202750
电话：18277726326</t>
  </si>
  <si>
    <t>箱号:EMCU9972063
封号：EMCHDS2716</t>
  </si>
  <si>
    <t>车号5:桂NB1612
名字:李树林
电话:17878781612
证:450923198506027758</t>
  </si>
  <si>
    <t>箱号：EGSU1696796
封条：EMCHDS2726</t>
  </si>
  <si>
    <t>车号4:桂NC2156
司机:蒋小华
电话:18897665188
身份证号:
452323197303172212</t>
  </si>
  <si>
    <t>箱号:TGBU7273804
封签号:EMCHDS2786</t>
  </si>
  <si>
    <t>车号1:桂NC2156
司机:蒋小华
电话:18897665188
身份证号:
452323197303172212</t>
  </si>
  <si>
    <t>箱号：TLLU8674459
封号:EMCHDS2706</t>
  </si>
  <si>
    <t>车号2：桂NC8812
名字：宁国烈 
电话：18977700947
身份证：450702198410154856</t>
  </si>
  <si>
    <t>箱号：TLLU8976593
封号:EMCHDS2796</t>
  </si>
  <si>
    <t>箱号：TGBU9246475
封号：EMCHDS2766</t>
  </si>
  <si>
    <t>车号4：桂NC8668
名字：许富金
电话：13977039933
身份证：452822197108163338</t>
  </si>
  <si>
    <t>箱号：EMCU8720236
封铅号：EMCHDS2736</t>
  </si>
  <si>
    <t>车号5：桂P08596
盘宝聪15807707639
身份证：45252819830206714</t>
  </si>
  <si>
    <t>箱号：TLLU5040949
铅封：EMCHDU6506</t>
  </si>
  <si>
    <t>车号1：桂NB3663 桂NG000挂
姓名：石忠勋 
电话：18777869178
身份证452725198503040213</t>
  </si>
  <si>
    <t>箱号：TGBU4463375
铅封：EMCHDU6546</t>
  </si>
  <si>
    <t>车号2：桂NE8092  桂NZ011挂
姓名：宋韬
电话：13768584337
身份证：450103198010052512</t>
  </si>
  <si>
    <t>箱号：TRHU7764490
铅封：EMCHDU6566</t>
  </si>
  <si>
    <t>车号3：桂NC9080   桂NCR96挂
姓名：黄小如
电话：18807777420
身份证：450702198505186615</t>
  </si>
  <si>
    <t>箱号：FFAU4869377
铅封：EMCHDU6576</t>
  </si>
  <si>
    <t>车号1：桂NB1539
姓名：谭华运 
电话：18978299878
身份证：452728199003202718</t>
  </si>
  <si>
    <t>箱号：EMCU8472931
铅封：EMCHDU6596</t>
  </si>
  <si>
    <t>车号2：桂N98307
姓名：谭 森
电话：13707857544
身份证：450803198201056733</t>
  </si>
  <si>
    <t>箱号：TCLU6326116
铅封：EMCHDU6536</t>
  </si>
  <si>
    <t>车号3：桂NC3373 桂NV220挂
姓名：丁忠平
电话：15107801430
身份证：450721198701042212</t>
  </si>
  <si>
    <t>箱号：TLLU7877066
铅封：EMCHDU6516</t>
  </si>
  <si>
    <t>车号1：桂N01388D
姓名：周继雄
电话：18078486808
身份证：452229197906041839</t>
  </si>
  <si>
    <t>箱号：TGBU6781159
铅封：EMCHDU6526</t>
  </si>
  <si>
    <t>车号2：粤H09189D
姓名：古雅根
电话：18577718908
身份证：450703198211301231</t>
  </si>
  <si>
    <t>箱号：TLLU8032340
铅封：EMCHDU6556</t>
  </si>
  <si>
    <t>车号3：粤H09957D
姓名：钟厚昌
电话：13647776588
身份证：452802197811153910</t>
  </si>
  <si>
    <t>箱号：TXGU5747722
铅封：EMCHDU6586</t>
  </si>
  <si>
    <t>车号4：桂N00902D
姓名：颜贤福
电话：17878781752
身份证：450702198306156632</t>
  </si>
  <si>
    <t>敏仪：19865537097</t>
  </si>
  <si>
    <t>车牌号:桂NB1539
司机:谭华运
电话:13502119580 
身份证号:452728199003202718</t>
  </si>
  <si>
    <t>车牌号: 桂AN5970
司机:彭天送
电话号: 13102108227
身份证: 452123198102073115</t>
  </si>
  <si>
    <t>箱号:EITU9516938
封号:EMCHDQ3486</t>
  </si>
  <si>
    <t>箱号：TGBU4545473
封号：EMCHDQ3496</t>
  </si>
  <si>
    <t>箱号：EITU9321113
封铅号:EMCHDQ3446</t>
  </si>
  <si>
    <t>箱号：TXGU7748311
封号：EMCHDQ3476</t>
  </si>
  <si>
    <t>箱号：EGSU9647308
封条：EMCHDQ3466</t>
  </si>
  <si>
    <t>车号:桂P09838
司机:李伟钦，
电话13907709302，
身份证452527197505102331</t>
  </si>
  <si>
    <t>箱号:CAAU5998544
封号:EMCHDT3546</t>
  </si>
  <si>
    <t>箱号：EGSU6244320
封铅号:EMCHDT3426</t>
  </si>
  <si>
    <t>车号1：桂P08596
盘宝聪15807707639
身份证：45252819830206714</t>
  </si>
  <si>
    <t>箱号：EITU1675358
封号：EMCHDT3466</t>
  </si>
  <si>
    <t>车号：桂NE6911
司机：赖时贵
电话：13977791535
身份证：452802197410166016</t>
  </si>
  <si>
    <t>箱号，EGSU9241556
铅封EMCHDT3456</t>
  </si>
  <si>
    <t>车号：桂ND9952
挂车号：桂NK337挂
姓名：刘国喜
手机：13977738037
身份证：450702198510015116</t>
  </si>
  <si>
    <t>箱号:TRHU6785707
封条：EMCHDT3406</t>
  </si>
  <si>
    <t>车号1：桂N92071
司机 ：张华
联系电话：15777700538
身份证：450721198508127732</t>
  </si>
  <si>
    <t>箱号:GAOU6920326
封签号:EMCHDT3476</t>
  </si>
  <si>
    <t>车号2:桂NC2156
司机:蒋小华
电话:18897665188
身份证号:452323197303172212</t>
  </si>
  <si>
    <t>箱号：FCIU7323556
封铅号：EMCHDT3416</t>
  </si>
  <si>
    <t>车号3：桂P53680
盘小龙13558000229
身份证：450923198710306738</t>
  </si>
  <si>
    <t>箱号:EITU9353928
封号:EMCHDT3496</t>
  </si>
  <si>
    <t>箱号：TIIU4702925
封号：EMCHDT3486</t>
  </si>
  <si>
    <t>箱号:CAAU5465144
封号:EMCHDT3446</t>
  </si>
  <si>
    <t>箱号:EGHU8263979
封号：EMCHDT3566</t>
  </si>
  <si>
    <t>车号:桂NB1612
名字:李树林
电话:17878781612
证:450923198506027758</t>
  </si>
  <si>
    <t>箱号:EGHU8295678
封签号:EMCHDT3556</t>
  </si>
  <si>
    <t>车号:桂NC2156
司机:蒋小华
电话:18897665188
身份证号:452323197303172212</t>
  </si>
  <si>
    <t>箱号：EITU9200195
封铅号:EMCHDT3436</t>
  </si>
  <si>
    <t>柜号：WHSU8097737
封号：WHA4230473</t>
  </si>
  <si>
    <t>车号：桂NE7607  桂NCM19挂
姓名：马红波
电话：15296102463
身份证：230105197601261313</t>
  </si>
  <si>
    <t>箱号:WHSU5061690
封号：WHA4230474</t>
  </si>
  <si>
    <t>车号：桂NE6208  桂NM196挂
司机：何雅业
电话：18778766478
身份证：450721198401254416</t>
  </si>
  <si>
    <t>箱号:WHSU6977760
封号：WHA4230477</t>
  </si>
  <si>
    <t>车号：桂NC9080   桂NCR96挂
姓名：黄小如
电话：18807777420
身份证：450702198505186615</t>
  </si>
  <si>
    <t>柜号：WHSU8181344
封号：WHA4230476</t>
  </si>
  <si>
    <t>车号：桂N03199D 桂NBP89挂
司机：刘贻峰
电话：18178725662
身份证：452323197211030735</t>
  </si>
  <si>
    <t>柜号: WHLU5619278
铅封:  WHA4230475</t>
  </si>
  <si>
    <t>车牌号：粤H09189D 粤H7807挂
司机：古雅根
电话：18577718908
身份证：450703198211301231</t>
  </si>
  <si>
    <t xml:space="preserve">柜号：WHSU8209009
封号：WHA4230478
</t>
  </si>
  <si>
    <t>车牌号：粤H02798D 粤H7677挂
司机：麻珍光
电话：13657776255
身份证：450703198209237517</t>
  </si>
  <si>
    <t>柜号：TGBU4491530
封号：EMCHDS8956</t>
  </si>
  <si>
    <t>车号：桂N03027D
司机：陆明成
手机号：18277740965
身份证：45070319810723215X</t>
  </si>
  <si>
    <t>柜号：TGBU8674503
封号：EMCHDS7556</t>
  </si>
  <si>
    <t>车号：桂N11711D
司机：梁立仕
手机号：13877796681
身份证：452802197508206637</t>
  </si>
  <si>
    <t>柜号：EITU9802124
封号：EMCHDS8906</t>
  </si>
  <si>
    <t>车号：桂N11372D
司机：黄光南
手机号：18688220157
身份证：450721198805111411</t>
  </si>
  <si>
    <t>CMTRL-20260930-023-1</t>
  </si>
  <si>
    <t>柜号：EITU8005424
封号：EMCHDS8916</t>
  </si>
  <si>
    <t>车号：粤H02798D
司机：麻珍光
手机号：450703198209237517
身份证：13657776255</t>
  </si>
  <si>
    <t>柜号：EMCU8422611
封签：EMCHDS8966</t>
  </si>
  <si>
    <t>车号：粤H08665D
司机：陈建府
手机号：19897425281
身份证：45070319880611243X</t>
  </si>
  <si>
    <t>车牌号:桂NB7170 
司机:徐  泉  
电话:13613202239 
身份证:450205197511160419</t>
  </si>
  <si>
    <t>车牌号:桂N97983 
司机:李志权 
电话:15822838514 
身份证:452522197210210835</t>
  </si>
  <si>
    <t>车牌号:桂N93376 
司机:农金伟 
电话:13502119580 
身份证:452130198010160012</t>
  </si>
  <si>
    <t>车牌号:桂NC5226 
司机:韦旭参 
电话:13821718365 
身份证:452730198012122311</t>
  </si>
  <si>
    <t>柜号: TEMU7273759
封签号:  SITZ257127</t>
  </si>
  <si>
    <t>车号：桂NB8032   
挂车号：桂NR562挂
司机名字：林斌
司机电话：17622396191
司机身份证：45020319710329073X</t>
  </si>
  <si>
    <t>箱号:ONEU5116807
铅封:SITZ374587</t>
  </si>
  <si>
    <t>车牌：桂N99393
姓名：蓝毅
电话：13102108227
身份证：452731197606126039</t>
  </si>
  <si>
    <t>箱号ONEU0012939
封号SITZ460705</t>
  </si>
  <si>
    <t>车号：桂NC9188
名字：骆崇修
电话：18522706267
身份证：450703197909102475</t>
  </si>
  <si>
    <t>箱号TLLU5465223
封号SITF029283</t>
  </si>
  <si>
    <t>车号：桂NB8032   
名字：林斌
电话：17622396191
身份证：45020319710329073X</t>
  </si>
  <si>
    <t>箱号:DFSU6827010
封号:SITA040798</t>
  </si>
  <si>
    <t>箱号:BEAU5491305
封号:SITZ871594</t>
  </si>
  <si>
    <t>车号：桂N99393
名字：蓝毅
电话：13102108227
身份证：452731197606126039</t>
  </si>
  <si>
    <t>箱号:GAOU6644064
封号:SITZ762712</t>
  </si>
  <si>
    <t>车号：桂NB7170
名字：徐泉
电话：13613202239
身份证：450205197511160419</t>
  </si>
  <si>
    <t>箱号:ONEU0946993
封号:SITZ377601</t>
  </si>
  <si>
    <t>车号：桂N97983
名字：李志权
电话：15822838514
身份证：452522197210210835</t>
  </si>
  <si>
    <t>箱号：KKFU8135130
封号：SITZ381976</t>
  </si>
  <si>
    <t>车号：桂N93376
名字：农金伟
电话：13502119580
身份证：452130198010160012</t>
  </si>
  <si>
    <t>箱号：GAOU6541699
封号：SITZ257187</t>
  </si>
  <si>
    <t>车号：桂NB8032
名字：林斌
电话：18177284355
身份证：45020319710329073X</t>
  </si>
  <si>
    <t>箱号：TRHU5789565
封号：SITZ374756</t>
  </si>
  <si>
    <t>车号：桂NB1139
名字：谭鸿毅
电话：13502119580
身份证：452728198808163619</t>
  </si>
  <si>
    <t>箱号：FFAU8107934
封号：SITZ257181</t>
  </si>
  <si>
    <t>车号：桂NB7170
名字：徐泉
电话：13102108227
身份证：450205197511160419</t>
  </si>
  <si>
    <t>箱号：CAAU4555304
封号：SITZ758512</t>
  </si>
  <si>
    <t>箱号：UETU7370858
封号：SITZ381533</t>
  </si>
  <si>
    <t>车号：桂N93376
名字：农金伟
电话：18522706267
身份证：452130198010160012</t>
  </si>
  <si>
    <t>箱号：TIIU4668224
封号：SITZ762716</t>
  </si>
  <si>
    <t>车号：桂AN5970
名字：彭天送
电话：13821718365
身份证：452123198102073115</t>
  </si>
  <si>
    <t>车号：桂N06665D
挂车号:桂NZ977挂
司机:姚德任
电话：15277779586
身份证：450703199311102170</t>
  </si>
  <si>
    <t>CMTRL-20260930-023-2</t>
  </si>
  <si>
    <t>车号2：桂NE7607  桂NCM19挂
姓名：马红波
电话：15296102463
身份证：230105197601261313</t>
  </si>
  <si>
    <t>车号3：桂P07939 桂PA793挂 
姓名：韦家平
身份证：452226197605060316  
电话：13737217537</t>
  </si>
  <si>
    <t>车号4：桂NE7975桂NY188挂                                   
姓名：阮勇
身份证452123197605251919
电话：15778862828</t>
  </si>
  <si>
    <t>车号：桂N11911D
司机：黄贤武
手机号：19178763827
身份证：450703198506083016</t>
  </si>
  <si>
    <t>车号：桂N00087D 
司机：黄志贤
手机号：13977794646
身份证：450703198806143033</t>
  </si>
  <si>
    <t>车号：桂ND9227
司机：苏鹏
手机号：18377083889
身份证：452423197407165012</t>
  </si>
  <si>
    <t>车号：桂N12815D
司机：杨祖龙
手机号：18178799107
身份证：450702199604206057</t>
  </si>
  <si>
    <t>箱号：FFAU5227387
封号:ZGJHB0588119</t>
  </si>
  <si>
    <t>车号1：桂ND8337
挂车：桂NCA86挂
司机：颜克勇
身份证：452324196902082819
电话：13768531558</t>
  </si>
  <si>
    <t xml:space="preserve">箱号：FFAU5319930
铅封：ZGJHB0590251
</t>
  </si>
  <si>
    <t>车号2：桂N11711D
司机：梁立仕
手机：13877796681
身份证：452802197508206637</t>
  </si>
  <si>
    <t>箱号：ZGXU6503969
铅封：ZGJHB0590302</t>
  </si>
  <si>
    <t>车号3：桂N00902D
司机：颜贤福
电话：17878781752
身份证：450702198306156632</t>
  </si>
  <si>
    <t>柜号: ZGXU6367991
铅封:  ZGJHB0588118</t>
  </si>
  <si>
    <t>车号4:粤H02803D 粤H7873挂
司机：张廷喜
电话：13977795531
身份证：45070319850314301X</t>
  </si>
  <si>
    <t xml:space="preserve">箱号： CAAU5877990
铅封:EMCHDS8936
</t>
  </si>
  <si>
    <t>车号：桂N01593D
司机：黄冠元
手机号：17707875935
身份证：45070219820310571X</t>
  </si>
  <si>
    <t>柜号:EGSU9348708
铅封:  EMCHDS8926</t>
  </si>
  <si>
    <t>车号：粤H02803D
司机：张廷喜
手机号：13977795531
身份证：45070319850314301X</t>
  </si>
  <si>
    <t>柜号：EISU8340748
封签：EMCHDN8646</t>
  </si>
  <si>
    <t>车号：桂N01388D
司机：周继雄
手机号：18078486808
身份证：452229197906041839</t>
  </si>
  <si>
    <t>箱号：FFAU5226436
封号：ZGJHB0590259</t>
  </si>
  <si>
    <t>车号1：桂N11711D
司机：梁立仕
手机：13877796681
身份证：452802197508206637</t>
  </si>
  <si>
    <t>箱号：ZGXU6398441
封号：ZGJHB0590256</t>
  </si>
  <si>
    <t>车号2：桂N00073D
司机:韦万金
电话：18376033559
身份证号：452122197906201513</t>
  </si>
  <si>
    <t>箱号：ZGXU6478315
封号：ZGJHB0588113</t>
  </si>
  <si>
    <t>车号3：桂NB8635
姓名：刘畅
电话：15225168515
身份证：411628199206059137</t>
  </si>
  <si>
    <t>车号：桂AN5970
司机：彭天送
手机号：15777746672
身份证：452123198102073115</t>
  </si>
  <si>
    <t>车号：桂NE6208
司机：何雅业
手机号：18778766478
身份证：450721198401254416</t>
  </si>
  <si>
    <t xml:space="preserve">箱号：FFAU5247444
封号：ZGJHB0588168
</t>
  </si>
  <si>
    <t>车号1：粤H03036D
名字：张永华
电话：13457721505
身份证：450521197611082530</t>
  </si>
  <si>
    <t xml:space="preserve">箱号：ZGXU6520415
封号：ZGJHB0588169
</t>
  </si>
  <si>
    <t>车号2：桂N12936D
名字：施海波
电话：13877745656
身份证：452824197705105358</t>
  </si>
  <si>
    <t>箱号：FFAU5250751
封号：ZGJHB0525071</t>
  </si>
  <si>
    <t>车号3：桂NB8635
姓名：刘畅
电话：15225168515
身份证：411628199206059137
提单号: ZGNQZHONY000461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</si>
</sst>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23" formatCode="\$#,##0_);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￥&quot;#,##0.00_);[Red]\(&quot;￥&quot;#,##0.00\)"/>
    <numFmt numFmtId="178" formatCode="\$#,##0.00;\-\$#,##0.00"/>
    <numFmt numFmtId="179" formatCode="m&quot;月&quot;d&quot;日&quot;;@"/>
    <numFmt numFmtId="180" formatCode="\$#,##0.000_);\(\$#,##0.000\)"/>
    <numFmt numFmtId="181" formatCode="&quot;￥&quot;#,##0.000_);\(&quot;￥&quot;#,##0.000\)"/>
    <numFmt numFmtId="182" formatCode="&quot;€&quot;#,##0.00;\-&quot;€&quot;#,##0.00"/>
    <numFmt numFmtId="183" formatCode="&quot;€&quot;#,##0.00;[Red]&quot;€&quot;#,##0.00"/>
    <numFmt numFmtId="184" formatCode="&quot;￥&quot;#,##0.0;&quot;￥&quot;\-#,##0.0"/>
  </numFmts>
  <fonts count="3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color theme="1"/>
      <name val="微软雅黑"/>
      <charset val="134"/>
    </font>
    <font>
      <b/>
      <sz val="11"/>
      <name val="宋体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color rgb="FFFF0000"/>
      <name val="微软雅黑"/>
      <charset val="134"/>
    </font>
    <font>
      <b/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9" applyNumberFormat="0" applyAlignment="0" applyProtection="0">
      <alignment vertical="center"/>
    </xf>
    <xf numFmtId="0" fontId="20" fillId="13" borderId="20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14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0" fillId="0" borderId="0" applyBorder="0">
      <alignment vertical="center"/>
    </xf>
  </cellStyleXfs>
  <cellXfs count="25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center" vertical="center"/>
    </xf>
    <xf numFmtId="176" fontId="1" fillId="3" borderId="1" xfId="49" applyNumberFormat="1" applyFont="1" applyFill="1" applyBorder="1" applyAlignment="1">
      <alignment horizontal="center" vertical="center"/>
    </xf>
    <xf numFmtId="58" fontId="0" fillId="0" borderId="2" xfId="0" applyNumberForma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3" xfId="0" applyNumberFormat="1" applyFill="1" applyBorder="1">
      <alignment vertical="center"/>
    </xf>
    <xf numFmtId="0" fontId="0" fillId="0" borderId="3" xfId="0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58" fontId="0" fillId="0" borderId="1" xfId="0" applyNumberFormat="1" applyFill="1" applyBorder="1">
      <alignment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58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left" vertical="center"/>
    </xf>
    <xf numFmtId="0" fontId="5" fillId="0" borderId="1" xfId="49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6" fontId="4" fillId="0" borderId="1" xfId="2" applyNumberFormat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58" fontId="4" fillId="0" borderId="1" xfId="0" applyNumberFormat="1" applyFont="1" applyFill="1" applyBorder="1">
      <alignment vertical="center"/>
    </xf>
    <xf numFmtId="177" fontId="4" fillId="0" borderId="1" xfId="2" applyNumberFormat="1" applyFont="1" applyFill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left" vertical="center"/>
    </xf>
    <xf numFmtId="0" fontId="5" fillId="2" borderId="1" xfId="49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6" fontId="4" fillId="2" borderId="1" xfId="2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76" fontId="1" fillId="4" borderId="1" xfId="49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58" fontId="9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176" fontId="1" fillId="5" borderId="1" xfId="49" applyNumberFormat="1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0" fontId="10" fillId="5" borderId="1" xfId="49" applyFont="1" applyFill="1" applyBorder="1" applyAlignment="1">
      <alignment horizontal="center" vertical="center"/>
    </xf>
    <xf numFmtId="178" fontId="1" fillId="6" borderId="1" xfId="49" applyNumberFormat="1" applyFont="1" applyFill="1" applyBorder="1" applyAlignment="1">
      <alignment horizontal="center" vertical="center"/>
    </xf>
    <xf numFmtId="7" fontId="9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7" fontId="2" fillId="2" borderId="1" xfId="0" applyNumberFormat="1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 wrapText="1"/>
    </xf>
    <xf numFmtId="178" fontId="2" fillId="0" borderId="10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0" fontId="1" fillId="6" borderId="1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 wrapText="1"/>
    </xf>
    <xf numFmtId="178" fontId="2" fillId="0" borderId="13" xfId="0" applyNumberFormat="1" applyFont="1" applyFill="1" applyBorder="1" applyAlignment="1">
      <alignment horizontal="center" vertical="center" wrapText="1"/>
    </xf>
    <xf numFmtId="178" fontId="6" fillId="7" borderId="1" xfId="0" applyNumberFormat="1" applyFont="1" applyFill="1" applyBorder="1" applyAlignment="1">
      <alignment horizontal="center" vertical="center"/>
    </xf>
    <xf numFmtId="7" fontId="6" fillId="7" borderId="1" xfId="0" applyNumberFormat="1" applyFont="1" applyFill="1" applyBorder="1" applyAlignment="1">
      <alignment horizontal="center" vertical="center"/>
    </xf>
    <xf numFmtId="0" fontId="1" fillId="9" borderId="1" xfId="49" applyFont="1" applyFill="1" applyBorder="1" applyAlignment="1">
      <alignment horizontal="center" vertical="center"/>
    </xf>
    <xf numFmtId="178" fontId="9" fillId="0" borderId="2" xfId="0" applyNumberFormat="1" applyFont="1" applyFill="1" applyBorder="1" applyAlignment="1">
      <alignment horizontal="center" vertical="center"/>
    </xf>
    <xf numFmtId="7" fontId="9" fillId="0" borderId="2" xfId="0" applyNumberFormat="1" applyFont="1" applyFill="1" applyBorder="1" applyAlignment="1">
      <alignment horizontal="center" vertical="center"/>
    </xf>
    <xf numFmtId="178" fontId="9" fillId="0" borderId="4" xfId="0" applyNumberFormat="1" applyFont="1" applyFill="1" applyBorder="1" applyAlignment="1">
      <alignment horizontal="center" vertical="center"/>
    </xf>
    <xf numFmtId="7" fontId="9" fillId="0" borderId="4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7" fontId="2" fillId="0" borderId="3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7" fontId="2" fillId="0" borderId="4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7" fontId="2" fillId="0" borderId="2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58" fontId="2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58" fontId="5" fillId="0" borderId="1" xfId="0" applyNumberFormat="1" applyFont="1" applyFill="1" applyBorder="1" applyAlignment="1">
      <alignment horizontal="center" vertical="center"/>
    </xf>
    <xf numFmtId="7" fontId="5" fillId="0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7" fontId="5" fillId="2" borderId="1" xfId="0" applyNumberFormat="1" applyFont="1" applyFill="1" applyBorder="1" applyAlignment="1">
      <alignment horizontal="center" vertical="center"/>
    </xf>
    <xf numFmtId="178" fontId="5" fillId="0" borderId="8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7" fontId="5" fillId="0" borderId="2" xfId="0" applyNumberFormat="1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7" fontId="5" fillId="0" borderId="4" xfId="0" applyNumberFormat="1" applyFont="1" applyFill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17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23" fontId="2" fillId="0" borderId="2" xfId="0" applyNumberFormat="1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3" fontId="2" fillId="2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1" fillId="4" borderId="1" xfId="49" applyFont="1" applyFill="1" applyBorder="1" applyAlignment="1" applyProtection="1">
      <alignment horizontal="center" vertical="center"/>
      <protection locked="0"/>
    </xf>
    <xf numFmtId="0" fontId="6" fillId="4" borderId="1" xfId="49" applyFont="1" applyFill="1" applyBorder="1" applyAlignment="1" applyProtection="1">
      <alignment horizontal="center" vertical="center"/>
      <protection locked="0"/>
    </xf>
    <xf numFmtId="176" fontId="1" fillId="4" borderId="1" xfId="49" applyNumberFormat="1" applyFont="1" applyFill="1" applyBorder="1" applyAlignment="1" applyProtection="1">
      <alignment horizontal="center" vertical="center"/>
      <protection locked="0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176" fontId="1" fillId="5" borderId="1" xfId="49" applyNumberFormat="1" applyFont="1" applyFill="1" applyBorder="1" applyAlignment="1" applyProtection="1">
      <alignment horizontal="center" vertical="center"/>
      <protection locked="0"/>
    </xf>
    <xf numFmtId="0" fontId="1" fillId="5" borderId="1" xfId="49" applyFont="1" applyFill="1" applyBorder="1" applyAlignment="1" applyProtection="1">
      <alignment horizontal="center" vertical="center"/>
      <protection locked="0"/>
    </xf>
    <xf numFmtId="0" fontId="10" fillId="5" borderId="1" xfId="49" applyFont="1" applyFill="1" applyBorder="1" applyAlignment="1" applyProtection="1">
      <alignment horizontal="center" vertical="center"/>
      <protection locked="0"/>
    </xf>
    <xf numFmtId="178" fontId="1" fillId="6" borderId="1" xfId="49" applyNumberFormat="1" applyFont="1" applyFill="1" applyBorder="1" applyAlignment="1" applyProtection="1">
      <alignment horizontal="center" vertical="center"/>
      <protection locked="0"/>
    </xf>
    <xf numFmtId="0" fontId="1" fillId="6" borderId="1" xfId="49" applyFont="1" applyFill="1" applyBorder="1" applyAlignment="1" applyProtection="1">
      <alignment horizontal="center" vertical="center"/>
      <protection locked="0"/>
    </xf>
    <xf numFmtId="25" fontId="9" fillId="0" borderId="1" xfId="0" applyNumberFormat="1" applyFont="1" applyFill="1" applyBorder="1" applyAlignment="1">
      <alignment horizontal="center" vertical="center"/>
    </xf>
    <xf numFmtId="25" fontId="2" fillId="0" borderId="1" xfId="0" applyNumberFormat="1" applyFont="1" applyFill="1" applyBorder="1" applyAlignment="1">
      <alignment vertical="center"/>
    </xf>
    <xf numFmtId="25" fontId="2" fillId="0" borderId="1" xfId="0" applyNumberFormat="1" applyFont="1" applyFill="1" applyBorder="1" applyAlignment="1">
      <alignment horizontal="center" vertical="center"/>
    </xf>
    <xf numFmtId="25" fontId="2" fillId="2" borderId="1" xfId="0" applyNumberFormat="1" applyFont="1" applyFill="1" applyBorder="1" applyAlignment="1">
      <alignment horizontal="center" vertical="center"/>
    </xf>
    <xf numFmtId="25" fontId="5" fillId="0" borderId="1" xfId="0" applyNumberFormat="1" applyFont="1" applyFill="1" applyBorder="1" applyAlignment="1">
      <alignment horizontal="center" vertical="center"/>
    </xf>
    <xf numFmtId="0" fontId="1" fillId="7" borderId="1" xfId="49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178" fontId="6" fillId="7" borderId="1" xfId="0" applyNumberFormat="1" applyFont="1" applyFill="1" applyBorder="1" applyAlignment="1" applyProtection="1">
      <alignment horizontal="center" vertical="center"/>
      <protection locked="0"/>
    </xf>
    <xf numFmtId="7" fontId="6" fillId="7" borderId="1" xfId="0" applyNumberFormat="1" applyFont="1" applyFill="1" applyBorder="1" applyAlignment="1" applyProtection="1">
      <alignment horizontal="center" vertical="center"/>
      <protection locked="0"/>
    </xf>
    <xf numFmtId="0" fontId="1" fillId="9" borderId="1" xfId="49" applyFont="1" applyFill="1" applyBorder="1" applyAlignment="1" applyProtection="1">
      <alignment horizontal="center" vertical="center"/>
      <protection locked="0"/>
    </xf>
    <xf numFmtId="0" fontId="8" fillId="0" borderId="0" xfId="0" applyFont="1" applyFill="1">
      <alignment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 wrapText="1"/>
    </xf>
    <xf numFmtId="58" fontId="0" fillId="0" borderId="1" xfId="0" applyNumberFormat="1" applyFill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76" fontId="1" fillId="2" borderId="1" xfId="49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 wrapText="1"/>
    </xf>
    <xf numFmtId="58" fontId="0" fillId="0" borderId="3" xfId="0" applyNumberFormat="1" applyFill="1" applyBorder="1" applyAlignment="1">
      <alignment horizontal="center" vertical="center" wrapText="1"/>
    </xf>
    <xf numFmtId="58" fontId="0" fillId="0" borderId="2" xfId="0" applyNumberFormat="1" applyFill="1" applyBorder="1" applyAlignment="1">
      <alignment horizontal="center" vertical="center" wrapText="1"/>
    </xf>
    <xf numFmtId="58" fontId="0" fillId="2" borderId="3" xfId="0" applyNumberFormat="1" applyFill="1" applyBorder="1" applyAlignment="1">
      <alignment horizontal="center" vertical="center" wrapText="1"/>
    </xf>
    <xf numFmtId="58" fontId="0" fillId="2" borderId="2" xfId="0" applyNumberFormat="1" applyFill="1" applyBorder="1" applyAlignment="1">
      <alignment horizontal="center" vertical="center" wrapText="1"/>
    </xf>
    <xf numFmtId="58" fontId="8" fillId="0" borderId="1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58" fontId="8" fillId="0" borderId="2" xfId="0" applyNumberFormat="1" applyFont="1" applyFill="1" applyBorder="1" applyAlignment="1">
      <alignment horizontal="center" vertical="center" wrapText="1"/>
    </xf>
    <xf numFmtId="58" fontId="8" fillId="0" borderId="4" xfId="0" applyNumberFormat="1" applyFont="1" applyFill="1" applyBorder="1" applyAlignment="1">
      <alignment horizontal="center" vertical="center" wrapText="1"/>
    </xf>
    <xf numFmtId="58" fontId="8" fillId="0" borderId="1" xfId="0" applyNumberFormat="1" applyFont="1" applyFill="1" applyBorder="1" applyAlignment="1">
      <alignment horizontal="center" vertical="center" wrapText="1"/>
    </xf>
    <xf numFmtId="176" fontId="1" fillId="0" borderId="8" xfId="49" applyNumberFormat="1" applyFont="1" applyFill="1" applyBorder="1" applyAlignment="1">
      <alignment horizontal="center" vertical="center" wrapText="1"/>
    </xf>
    <xf numFmtId="58" fontId="8" fillId="0" borderId="0" xfId="0" applyNumberFormat="1" applyFont="1" applyFill="1" applyAlignment="1">
      <alignment horizontal="center" vertical="center" wrapText="1"/>
    </xf>
    <xf numFmtId="176" fontId="1" fillId="0" borderId="7" xfId="49" applyNumberFormat="1" applyFont="1" applyFill="1" applyBorder="1" applyAlignment="1">
      <alignment horizontal="center" vertical="center"/>
    </xf>
    <xf numFmtId="58" fontId="0" fillId="0" borderId="0" xfId="0" applyNumberFormat="1" applyFill="1">
      <alignment vertical="center"/>
    </xf>
    <xf numFmtId="58" fontId="8" fillId="2" borderId="1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center" vertical="center"/>
    </xf>
    <xf numFmtId="176" fontId="1" fillId="2" borderId="8" xfId="49" applyNumberFormat="1" applyFont="1" applyFill="1" applyBorder="1" applyAlignment="1">
      <alignment horizontal="center" vertical="center" wrapText="1"/>
    </xf>
    <xf numFmtId="58" fontId="8" fillId="2" borderId="0" xfId="0" applyNumberFormat="1" applyFont="1" applyFill="1" applyAlignment="1">
      <alignment horizontal="center" vertical="center" wrapText="1"/>
    </xf>
    <xf numFmtId="176" fontId="1" fillId="2" borderId="7" xfId="49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9" fontId="5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8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80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181" fontId="5" fillId="0" borderId="2" xfId="0" applyNumberFormat="1" applyFont="1" applyFill="1" applyBorder="1" applyAlignment="1">
      <alignment horizontal="center" vertical="center"/>
    </xf>
    <xf numFmtId="182" fontId="5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Protection="1">
      <alignment vertical="center"/>
    </xf>
    <xf numFmtId="179" fontId="5" fillId="0" borderId="2" xfId="0" applyNumberFormat="1" applyFont="1" applyFill="1" applyBorder="1" applyAlignment="1">
      <alignment horizontal="left" vertical="center"/>
    </xf>
    <xf numFmtId="0" fontId="5" fillId="0" borderId="1" xfId="0" applyFont="1" applyFill="1" applyBorder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179" fontId="5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Fill="1" applyBorder="1" applyAlignment="1" applyProtection="1">
      <alignment horizontal="center" vertical="center"/>
    </xf>
    <xf numFmtId="0" fontId="0" fillId="0" borderId="0" xfId="0" applyProtection="1">
      <alignment vertical="center"/>
    </xf>
    <xf numFmtId="0" fontId="0" fillId="0" borderId="0" xfId="0" applyAlignment="1" applyProtection="1">
      <alignment horizontal="center" vertical="center"/>
    </xf>
    <xf numFmtId="7" fontId="0" fillId="0" borderId="0" xfId="0" applyNumberFormat="1" applyFill="1" applyAlignment="1">
      <alignment horizontal="left" vertical="center"/>
    </xf>
    <xf numFmtId="0" fontId="0" fillId="10" borderId="0" xfId="0" applyFill="1">
      <alignment vertical="center"/>
    </xf>
    <xf numFmtId="0" fontId="1" fillId="4" borderId="3" xfId="49" applyFont="1" applyFill="1" applyBorder="1" applyAlignment="1" applyProtection="1">
      <alignment horizontal="center" vertical="center"/>
    </xf>
    <xf numFmtId="0" fontId="6" fillId="4" borderId="3" xfId="49" applyFont="1" applyFill="1" applyBorder="1" applyAlignment="1" applyProtection="1">
      <alignment horizontal="center" vertical="center"/>
    </xf>
    <xf numFmtId="0" fontId="9" fillId="0" borderId="1" xfId="0" applyFont="1" applyFill="1" applyBorder="1" applyProtection="1">
      <alignment vertical="center"/>
    </xf>
    <xf numFmtId="0" fontId="9" fillId="0" borderId="1" xfId="0" applyFont="1" applyFill="1" applyBorder="1" applyAlignment="1" applyProtection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vertical="center"/>
    </xf>
    <xf numFmtId="0" fontId="1" fillId="5" borderId="3" xfId="49" applyFont="1" applyFill="1" applyBorder="1" applyAlignment="1" applyProtection="1">
      <alignment horizontal="center" vertical="center"/>
    </xf>
    <xf numFmtId="0" fontId="10" fillId="5" borderId="3" xfId="49" applyFont="1" applyFill="1" applyBorder="1" applyAlignment="1" applyProtection="1">
      <alignment horizontal="center" vertical="center"/>
    </xf>
    <xf numFmtId="0" fontId="1" fillId="6" borderId="1" xfId="49" applyFont="1" applyFill="1" applyBorder="1" applyAlignment="1" applyProtection="1">
      <alignment horizontal="center" vertical="center"/>
    </xf>
    <xf numFmtId="178" fontId="9" fillId="10" borderId="1" xfId="0" applyNumberFormat="1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4" fontId="0" fillId="0" borderId="15" xfId="0" applyNumberFormat="1" applyFill="1" applyBorder="1">
      <alignment vertical="center"/>
    </xf>
    <xf numFmtId="4" fontId="0" fillId="0" borderId="6" xfId="0" applyNumberFormat="1" applyFill="1" applyBorder="1">
      <alignment vertical="center"/>
    </xf>
    <xf numFmtId="4" fontId="0" fillId="0" borderId="0" xfId="0" applyNumberFormat="1" applyFill="1" applyBorder="1">
      <alignment vertical="center"/>
    </xf>
    <xf numFmtId="178" fontId="5" fillId="1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8" fontId="1" fillId="6" borderId="3" xfId="49" applyNumberFormat="1" applyFont="1" applyFill="1" applyBorder="1" applyAlignment="1" applyProtection="1">
      <alignment horizontal="center" vertical="center"/>
    </xf>
    <xf numFmtId="0" fontId="1" fillId="6" borderId="3" xfId="49" applyFont="1" applyFill="1" applyBorder="1" applyAlignment="1" applyProtection="1">
      <alignment horizontal="center" vertical="center"/>
    </xf>
    <xf numFmtId="0" fontId="1" fillId="7" borderId="3" xfId="49" applyFont="1" applyFill="1" applyBorder="1" applyAlignment="1" applyProtection="1">
      <alignment horizontal="center" vertical="center"/>
    </xf>
    <xf numFmtId="0" fontId="6" fillId="7" borderId="3" xfId="0" applyFont="1" applyFill="1" applyBorder="1" applyAlignment="1" applyProtection="1">
      <alignment horizontal="center" vertical="center"/>
    </xf>
    <xf numFmtId="0" fontId="1" fillId="9" borderId="3" xfId="49" applyFont="1" applyFill="1" applyBorder="1" applyAlignment="1" applyProtection="1">
      <alignment horizontal="center" vertical="center"/>
    </xf>
    <xf numFmtId="7" fontId="9" fillId="10" borderId="1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7" fontId="2" fillId="10" borderId="1" xfId="0" applyNumberFormat="1" applyFont="1" applyFill="1" applyBorder="1" applyAlignment="1">
      <alignment horizontal="center" vertical="center"/>
    </xf>
    <xf numFmtId="7" fontId="5" fillId="1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/>
    </xf>
    <xf numFmtId="176" fontId="1" fillId="4" borderId="3" xfId="49" applyNumberFormat="1" applyFont="1" applyFill="1" applyBorder="1" applyAlignment="1" applyProtection="1">
      <alignment horizontal="center" vertical="center"/>
    </xf>
    <xf numFmtId="176" fontId="1" fillId="5" borderId="3" xfId="49" applyNumberFormat="1" applyFont="1" applyFill="1" applyBorder="1" applyAlignment="1" applyProtection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184" fontId="5" fillId="0" borderId="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A6C5BF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zoomScale="85" zoomScaleNormal="85" workbookViewId="0">
      <pane xSplit="8" ySplit="1" topLeftCell="J43" activePane="bottomRight" state="frozen"/>
      <selection/>
      <selection pane="topRight"/>
      <selection pane="bottomLeft"/>
      <selection pane="bottomRight" activeCell="K73" sqref="K72:L73"/>
    </sheetView>
  </sheetViews>
  <sheetFormatPr defaultColWidth="9" defaultRowHeight="13.5"/>
  <cols>
    <col min="1" max="1" width="7.31858407079646" customWidth="1"/>
    <col min="2" max="2" width="20.9734513274336" customWidth="1"/>
    <col min="3" max="3" width="6.30973451327434" customWidth="1"/>
    <col min="4" max="4" width="23.6371681415929" customWidth="1"/>
    <col min="5" max="5" width="20.9115044247788" customWidth="1"/>
    <col min="6" max="6" width="10.8849557522124" customWidth="1"/>
    <col min="7" max="7" width="8.96460176991151" customWidth="1"/>
    <col min="8" max="8" width="7.10619469026549" customWidth="1"/>
    <col min="9" max="9" width="12.7256637168142" customWidth="1"/>
    <col min="10" max="10" width="17.1858407079646" customWidth="1"/>
    <col min="11" max="11" width="8.96460176991151" customWidth="1"/>
    <col min="12" max="12" width="7.10619469026549" customWidth="1"/>
    <col min="13" max="13" width="19.6637168141593" customWidth="1"/>
    <col min="14" max="14" width="17.1858407079646" customWidth="1"/>
    <col min="15" max="15" width="14.4690265486726" customWidth="1"/>
    <col min="16" max="17" width="12.7256637168142" customWidth="1"/>
    <col min="18" max="18" width="17.1858407079646" customWidth="1"/>
    <col min="19" max="19" width="22.3628318584071" customWidth="1"/>
    <col min="20" max="20" width="5.24778761061947" customWidth="1"/>
    <col min="21" max="21" width="7.10619469026549" customWidth="1"/>
    <col min="22" max="22" width="5.24778761061947" customWidth="1"/>
    <col min="23" max="24" width="5.53097345132743" customWidth="1"/>
    <col min="25" max="25" width="5.24778761061947" customWidth="1"/>
  </cols>
  <sheetData>
    <row r="1" s="218" customFormat="1" spans="1:25">
      <c r="A1" s="222" t="s">
        <v>0</v>
      </c>
      <c r="B1" s="222" t="s">
        <v>1</v>
      </c>
      <c r="C1" s="222" t="s">
        <v>2</v>
      </c>
      <c r="D1" s="222" t="s">
        <v>3</v>
      </c>
      <c r="E1" s="223" t="s">
        <v>4</v>
      </c>
      <c r="F1" s="222" t="s">
        <v>5</v>
      </c>
      <c r="G1" s="222" t="s">
        <v>6</v>
      </c>
      <c r="H1" s="222" t="s">
        <v>7</v>
      </c>
      <c r="I1" s="253" t="s">
        <v>8</v>
      </c>
      <c r="J1" s="222" t="s">
        <v>9</v>
      </c>
      <c r="K1" s="254" t="s">
        <v>10</v>
      </c>
      <c r="L1" s="229" t="s">
        <v>11</v>
      </c>
      <c r="M1" s="254" t="s">
        <v>12</v>
      </c>
      <c r="N1" s="230" t="s">
        <v>13</v>
      </c>
      <c r="O1" s="230" t="s">
        <v>14</v>
      </c>
      <c r="P1" s="240" t="s">
        <v>15</v>
      </c>
      <c r="Q1" s="240" t="s">
        <v>16</v>
      </c>
      <c r="R1" s="240" t="s">
        <v>17</v>
      </c>
      <c r="S1" s="243" t="s">
        <v>18</v>
      </c>
      <c r="T1" s="243" t="s">
        <v>19</v>
      </c>
      <c r="U1" s="243" t="s">
        <v>20</v>
      </c>
      <c r="V1" s="243" t="s">
        <v>21</v>
      </c>
      <c r="W1" s="243" t="s">
        <v>22</v>
      </c>
      <c r="X1" s="243" t="s">
        <v>23</v>
      </c>
      <c r="Y1" s="243" t="s">
        <v>24</v>
      </c>
    </row>
    <row r="2" s="24" customFormat="1" ht="16" customHeight="1" spans="1:24">
      <c r="A2" s="24" t="s">
        <v>25</v>
      </c>
      <c r="B2" s="25" t="s">
        <v>26</v>
      </c>
      <c r="C2" s="25" t="s">
        <v>27</v>
      </c>
      <c r="D2" s="24" t="s">
        <v>28</v>
      </c>
      <c r="E2" s="24" t="s">
        <v>29</v>
      </c>
      <c r="F2" s="71">
        <v>46174</v>
      </c>
      <c r="G2" s="24" t="s">
        <v>30</v>
      </c>
      <c r="H2" s="24">
        <v>806.4</v>
      </c>
      <c r="I2" s="255">
        <v>15600</v>
      </c>
      <c r="J2" s="255">
        <f t="shared" ref="J2:J65" si="0">H2*I2</f>
        <v>12579840</v>
      </c>
      <c r="K2" s="24">
        <f>680.96+125.44</f>
        <v>806.4</v>
      </c>
      <c r="L2" s="24">
        <f t="shared" ref="L2:L65" si="1">H2-K2</f>
        <v>0</v>
      </c>
      <c r="M2" s="255">
        <f>高科收款!D6+高科收款!D10+高科收款!D17</f>
        <v>12579840</v>
      </c>
      <c r="N2" s="255">
        <f t="shared" ref="N2:N65" si="2">J2-M2</f>
        <v>0</v>
      </c>
      <c r="O2" s="255">
        <f t="shared" ref="O2:O65" si="3">K2*I2-M2</f>
        <v>0</v>
      </c>
      <c r="P2" s="255">
        <v>15305</v>
      </c>
      <c r="Q2" s="1"/>
      <c r="R2" s="255">
        <f t="shared" ref="R2:R65" si="4">P2*H2</f>
        <v>12341952</v>
      </c>
      <c r="S2" s="24" t="s">
        <v>31</v>
      </c>
      <c r="T2" s="24">
        <v>720</v>
      </c>
      <c r="V2" s="24">
        <v>23</v>
      </c>
      <c r="W2" s="24">
        <v>2880</v>
      </c>
      <c r="X2" s="24">
        <v>1440</v>
      </c>
    </row>
    <row r="3" s="24" customFormat="1" ht="16" customHeight="1" spans="1:19">
      <c r="A3" s="24" t="s">
        <v>25</v>
      </c>
      <c r="B3" s="25" t="s">
        <v>32</v>
      </c>
      <c r="C3" s="25" t="s">
        <v>27</v>
      </c>
      <c r="D3" s="24" t="s">
        <v>33</v>
      </c>
      <c r="E3" s="24" t="s">
        <v>34</v>
      </c>
      <c r="F3" s="71">
        <v>46125</v>
      </c>
      <c r="G3" s="24" t="s">
        <v>35</v>
      </c>
      <c r="H3" s="24">
        <v>18</v>
      </c>
      <c r="I3" s="255">
        <v>16100</v>
      </c>
      <c r="J3" s="255">
        <f t="shared" si="0"/>
        <v>289800</v>
      </c>
      <c r="K3" s="24">
        <v>18</v>
      </c>
      <c r="L3" s="24">
        <f t="shared" si="1"/>
        <v>0</v>
      </c>
      <c r="M3" s="255">
        <f>高科收款!D9</f>
        <v>289800</v>
      </c>
      <c r="N3" s="255">
        <f t="shared" si="2"/>
        <v>0</v>
      </c>
      <c r="O3" s="255">
        <f t="shared" si="3"/>
        <v>0</v>
      </c>
      <c r="P3" s="255">
        <v>16100</v>
      </c>
      <c r="Q3" s="255">
        <v>16100</v>
      </c>
      <c r="R3" s="255">
        <f t="shared" si="4"/>
        <v>289800</v>
      </c>
      <c r="S3" s="24" t="s">
        <v>36</v>
      </c>
    </row>
    <row r="4" s="24" customFormat="1" ht="16" customHeight="1" spans="1:19">
      <c r="A4" s="24" t="s">
        <v>37</v>
      </c>
      <c r="B4" s="25" t="s">
        <v>38</v>
      </c>
      <c r="C4" s="25" t="s">
        <v>39</v>
      </c>
      <c r="D4" s="24" t="s">
        <v>28</v>
      </c>
      <c r="E4" s="24" t="s">
        <v>40</v>
      </c>
      <c r="F4" s="71">
        <v>46131</v>
      </c>
      <c r="G4" s="24" t="s">
        <v>41</v>
      </c>
      <c r="H4" s="24">
        <v>10</v>
      </c>
      <c r="I4" s="255">
        <v>16000</v>
      </c>
      <c r="J4" s="255">
        <f t="shared" si="0"/>
        <v>160000</v>
      </c>
      <c r="K4" s="24">
        <f>高科出库!E28</f>
        <v>10</v>
      </c>
      <c r="L4" s="24">
        <f t="shared" si="1"/>
        <v>0</v>
      </c>
      <c r="M4" s="255">
        <f>高科收款!D11</f>
        <v>160000</v>
      </c>
      <c r="N4" s="255">
        <f t="shared" si="2"/>
        <v>0</v>
      </c>
      <c r="O4" s="255">
        <f t="shared" si="3"/>
        <v>0</v>
      </c>
      <c r="P4" s="255">
        <v>15860</v>
      </c>
      <c r="Q4" s="255">
        <v>15600</v>
      </c>
      <c r="R4" s="255">
        <f t="shared" si="4"/>
        <v>158600</v>
      </c>
      <c r="S4" s="24" t="s">
        <v>42</v>
      </c>
    </row>
    <row r="5" s="24" customFormat="1" ht="16" customHeight="1" spans="1:19">
      <c r="A5" s="24" t="s">
        <v>25</v>
      </c>
      <c r="B5" s="25" t="s">
        <v>32</v>
      </c>
      <c r="C5" s="25" t="s">
        <v>27</v>
      </c>
      <c r="D5" s="24" t="s">
        <v>43</v>
      </c>
      <c r="E5" s="24" t="s">
        <v>44</v>
      </c>
      <c r="F5" s="71">
        <v>46111</v>
      </c>
      <c r="G5" s="24" t="s">
        <v>45</v>
      </c>
      <c r="H5" s="24">
        <v>6</v>
      </c>
      <c r="I5" s="255">
        <v>17300</v>
      </c>
      <c r="J5" s="255">
        <f t="shared" si="0"/>
        <v>103800</v>
      </c>
      <c r="K5" s="24">
        <v>6</v>
      </c>
      <c r="L5" s="24">
        <f t="shared" si="1"/>
        <v>0</v>
      </c>
      <c r="M5" s="255">
        <v>103800</v>
      </c>
      <c r="N5" s="255">
        <f t="shared" si="2"/>
        <v>0</v>
      </c>
      <c r="O5" s="255">
        <f t="shared" si="3"/>
        <v>0</v>
      </c>
      <c r="P5" s="255">
        <v>17300</v>
      </c>
      <c r="Q5" s="255">
        <v>17250</v>
      </c>
      <c r="R5" s="255">
        <f t="shared" si="4"/>
        <v>103800</v>
      </c>
      <c r="S5" s="24" t="s">
        <v>46</v>
      </c>
    </row>
    <row r="6" s="24" customFormat="1" ht="16" customHeight="1" spans="1:19">
      <c r="A6" s="24" t="s">
        <v>25</v>
      </c>
      <c r="B6" s="25" t="s">
        <v>32</v>
      </c>
      <c r="C6" s="25" t="s">
        <v>27</v>
      </c>
      <c r="D6" s="24" t="s">
        <v>43</v>
      </c>
      <c r="E6" s="24" t="s">
        <v>44</v>
      </c>
      <c r="F6" s="71">
        <v>46111</v>
      </c>
      <c r="G6" s="24" t="s">
        <v>47</v>
      </c>
      <c r="H6" s="24">
        <v>6</v>
      </c>
      <c r="I6" s="255">
        <v>17500</v>
      </c>
      <c r="J6" s="255">
        <f t="shared" si="0"/>
        <v>105000</v>
      </c>
      <c r="K6" s="24">
        <v>6</v>
      </c>
      <c r="L6" s="24">
        <f t="shared" si="1"/>
        <v>0</v>
      </c>
      <c r="M6" s="255">
        <v>105000</v>
      </c>
      <c r="N6" s="255">
        <f t="shared" si="2"/>
        <v>0</v>
      </c>
      <c r="O6" s="255">
        <f t="shared" si="3"/>
        <v>0</v>
      </c>
      <c r="P6" s="255">
        <v>17500</v>
      </c>
      <c r="Q6" s="255">
        <v>17250</v>
      </c>
      <c r="R6" s="255">
        <f t="shared" si="4"/>
        <v>105000</v>
      </c>
      <c r="S6" s="24" t="s">
        <v>46</v>
      </c>
    </row>
    <row r="7" s="24" customFormat="1" ht="16" customHeight="1" spans="1:19">
      <c r="A7" s="24" t="s">
        <v>25</v>
      </c>
      <c r="B7" s="25" t="s">
        <v>38</v>
      </c>
      <c r="C7" s="25" t="s">
        <v>39</v>
      </c>
      <c r="D7" s="24" t="s">
        <v>48</v>
      </c>
      <c r="E7" s="24" t="s">
        <v>49</v>
      </c>
      <c r="F7" s="71">
        <v>46111</v>
      </c>
      <c r="G7" s="24" t="s">
        <v>35</v>
      </c>
      <c r="H7" s="24">
        <v>11.04</v>
      </c>
      <c r="I7" s="255">
        <v>18100</v>
      </c>
      <c r="J7" s="255">
        <f t="shared" si="0"/>
        <v>199824</v>
      </c>
      <c r="K7" s="24">
        <v>11.04</v>
      </c>
      <c r="L7" s="24">
        <f t="shared" si="1"/>
        <v>0</v>
      </c>
      <c r="M7" s="255">
        <f>高科收款!D13</f>
        <v>199824</v>
      </c>
      <c r="N7" s="255">
        <f t="shared" si="2"/>
        <v>0</v>
      </c>
      <c r="O7" s="255">
        <f t="shared" si="3"/>
        <v>0</v>
      </c>
      <c r="P7" s="255">
        <v>17945</v>
      </c>
      <c r="Q7" s="255">
        <v>17100</v>
      </c>
      <c r="R7" s="255">
        <f t="shared" si="4"/>
        <v>198112.8</v>
      </c>
      <c r="S7" s="24" t="s">
        <v>46</v>
      </c>
    </row>
    <row r="8" s="24" customFormat="1" ht="16" customHeight="1" spans="1:24">
      <c r="A8" s="24" t="s">
        <v>25</v>
      </c>
      <c r="B8" s="25" t="s">
        <v>50</v>
      </c>
      <c r="C8" s="25" t="s">
        <v>27</v>
      </c>
      <c r="D8" s="24" t="s">
        <v>28</v>
      </c>
      <c r="E8" s="24" t="s">
        <v>51</v>
      </c>
      <c r="F8" s="71">
        <v>46249</v>
      </c>
      <c r="G8" s="24" t="s">
        <v>41</v>
      </c>
      <c r="H8" s="24">
        <v>1708.8</v>
      </c>
      <c r="I8" s="255">
        <v>16489</v>
      </c>
      <c r="J8" s="255">
        <f t="shared" si="0"/>
        <v>28176403.2</v>
      </c>
      <c r="K8" s="143">
        <f>1401.6+153.6+153.6</f>
        <v>1708.8</v>
      </c>
      <c r="L8" s="24">
        <f t="shared" si="1"/>
        <v>0</v>
      </c>
      <c r="M8" s="255">
        <f>高科收款!D20+高科收款!D34+高科收款!D35+高科收款!D51+高科收款!D64+高科收款!D74+高科收款!D77+高科收款!D113+高科收款!D114+高科收款!D126</f>
        <v>28176403.2</v>
      </c>
      <c r="N8" s="255">
        <f t="shared" si="2"/>
        <v>0</v>
      </c>
      <c r="O8" s="255">
        <f t="shared" si="3"/>
        <v>0</v>
      </c>
      <c r="P8" s="255">
        <v>16000</v>
      </c>
      <c r="Q8" s="255">
        <v>16000</v>
      </c>
      <c r="R8" s="255">
        <f t="shared" si="4"/>
        <v>27340800</v>
      </c>
      <c r="S8" s="25" t="s">
        <v>52</v>
      </c>
      <c r="T8" s="24">
        <f>1248+176</f>
        <v>1424</v>
      </c>
      <c r="V8" s="24">
        <f>39+5.5</f>
        <v>44.5</v>
      </c>
      <c r="W8" s="24">
        <f>4992+704</f>
        <v>5696</v>
      </c>
      <c r="X8" s="24">
        <f>2496+352</f>
        <v>2848</v>
      </c>
    </row>
    <row r="9" s="24" customFormat="1" ht="16" customHeight="1" spans="1:24">
      <c r="A9" s="24" t="s">
        <v>37</v>
      </c>
      <c r="B9" s="25" t="s">
        <v>38</v>
      </c>
      <c r="C9" s="25" t="s">
        <v>39</v>
      </c>
      <c r="D9" s="24" t="s">
        <v>28</v>
      </c>
      <c r="E9" s="24" t="s">
        <v>53</v>
      </c>
      <c r="F9" s="71">
        <v>46143</v>
      </c>
      <c r="G9" s="24" t="s">
        <v>41</v>
      </c>
      <c r="H9" s="66">
        <v>43.28</v>
      </c>
      <c r="I9" s="255">
        <v>18200</v>
      </c>
      <c r="J9" s="255">
        <f t="shared" si="0"/>
        <v>787696</v>
      </c>
      <c r="K9" s="24">
        <v>43.28</v>
      </c>
      <c r="L9" s="66">
        <f t="shared" si="1"/>
        <v>0</v>
      </c>
      <c r="M9" s="255">
        <f>873600-(48-H9)*I9</f>
        <v>787696</v>
      </c>
      <c r="N9" s="255">
        <f t="shared" si="2"/>
        <v>0</v>
      </c>
      <c r="O9" s="255">
        <f t="shared" si="3"/>
        <v>0</v>
      </c>
      <c r="P9" s="255">
        <v>17735</v>
      </c>
      <c r="Q9" s="255">
        <v>17600</v>
      </c>
      <c r="R9" s="255">
        <f t="shared" si="4"/>
        <v>767570.8</v>
      </c>
      <c r="S9" s="25" t="s">
        <v>54</v>
      </c>
      <c r="X9" s="24" t="s">
        <v>55</v>
      </c>
    </row>
    <row r="10" s="24" customFormat="1" ht="16" customHeight="1" spans="1:19">
      <c r="A10" s="24" t="s">
        <v>25</v>
      </c>
      <c r="B10" s="25" t="s">
        <v>56</v>
      </c>
      <c r="C10" s="25" t="s">
        <v>27</v>
      </c>
      <c r="D10" s="24" t="s">
        <v>57</v>
      </c>
      <c r="E10" s="24" t="s">
        <v>58</v>
      </c>
      <c r="F10" s="71">
        <v>46142</v>
      </c>
      <c r="G10" s="24" t="s">
        <v>35</v>
      </c>
      <c r="H10" s="24">
        <v>187.5</v>
      </c>
      <c r="I10" s="255">
        <v>21000</v>
      </c>
      <c r="J10" s="255">
        <f t="shared" si="0"/>
        <v>3937500</v>
      </c>
      <c r="K10" s="143">
        <v>187.5</v>
      </c>
      <c r="L10" s="24">
        <f t="shared" si="1"/>
        <v>0</v>
      </c>
      <c r="M10" s="255">
        <f>高科收款!D19+高科收款!D22+高科收款!D29</f>
        <v>3937500</v>
      </c>
      <c r="N10" s="255">
        <f t="shared" si="2"/>
        <v>0</v>
      </c>
      <c r="O10" s="255">
        <f t="shared" si="3"/>
        <v>0</v>
      </c>
      <c r="P10" s="255">
        <v>21000</v>
      </c>
      <c r="Q10" s="255">
        <v>20500</v>
      </c>
      <c r="R10" s="255">
        <f t="shared" si="4"/>
        <v>3937500</v>
      </c>
      <c r="S10" s="25" t="s">
        <v>46</v>
      </c>
    </row>
    <row r="11" s="24" customFormat="1" ht="16" customHeight="1" spans="1:19">
      <c r="A11" s="24" t="s">
        <v>37</v>
      </c>
      <c r="B11" s="25" t="s">
        <v>38</v>
      </c>
      <c r="C11" s="25" t="s">
        <v>27</v>
      </c>
      <c r="D11" s="24" t="s">
        <v>28</v>
      </c>
      <c r="E11" s="24" t="s">
        <v>59</v>
      </c>
      <c r="F11" s="71">
        <v>46184</v>
      </c>
      <c r="G11" s="24" t="s">
        <v>30</v>
      </c>
      <c r="H11" s="24">
        <v>38</v>
      </c>
      <c r="I11" s="255">
        <v>14800</v>
      </c>
      <c r="J11" s="255">
        <f t="shared" si="0"/>
        <v>562400</v>
      </c>
      <c r="K11" s="143">
        <v>38</v>
      </c>
      <c r="L11" s="24">
        <f t="shared" si="1"/>
        <v>0</v>
      </c>
      <c r="M11" s="255">
        <v>562400</v>
      </c>
      <c r="N11" s="255">
        <f t="shared" si="2"/>
        <v>0</v>
      </c>
      <c r="O11" s="255">
        <f t="shared" si="3"/>
        <v>0</v>
      </c>
      <c r="P11" s="255">
        <v>14800</v>
      </c>
      <c r="Q11" s="255"/>
      <c r="R11" s="255">
        <f t="shared" si="4"/>
        <v>562400</v>
      </c>
      <c r="S11" s="25" t="s">
        <v>60</v>
      </c>
    </row>
    <row r="12" s="24" customFormat="1" ht="16" customHeight="1" spans="1:19">
      <c r="A12" s="24" t="s">
        <v>37</v>
      </c>
      <c r="B12" s="25" t="s">
        <v>38</v>
      </c>
      <c r="C12" s="25" t="s">
        <v>27</v>
      </c>
      <c r="D12" s="24" t="s">
        <v>61</v>
      </c>
      <c r="E12" s="24" t="s">
        <v>62</v>
      </c>
      <c r="F12" s="71">
        <v>46172</v>
      </c>
      <c r="G12" s="24" t="s">
        <v>30</v>
      </c>
      <c r="H12" s="24">
        <v>4</v>
      </c>
      <c r="I12" s="255">
        <v>14600</v>
      </c>
      <c r="J12" s="255">
        <f t="shared" si="0"/>
        <v>58400</v>
      </c>
      <c r="K12" s="143">
        <v>4</v>
      </c>
      <c r="L12" s="24">
        <f t="shared" si="1"/>
        <v>0</v>
      </c>
      <c r="M12" s="255">
        <v>58400</v>
      </c>
      <c r="N12" s="255">
        <f t="shared" si="2"/>
        <v>0</v>
      </c>
      <c r="O12" s="255">
        <f t="shared" si="3"/>
        <v>0</v>
      </c>
      <c r="P12" s="255">
        <v>14600</v>
      </c>
      <c r="Q12" s="255"/>
      <c r="R12" s="255">
        <f t="shared" si="4"/>
        <v>58400</v>
      </c>
      <c r="S12" s="25" t="s">
        <v>63</v>
      </c>
    </row>
    <row r="13" s="24" customFormat="1" ht="16" customHeight="1" spans="1:19">
      <c r="A13" s="24" t="s">
        <v>37</v>
      </c>
      <c r="B13" s="25" t="s">
        <v>38</v>
      </c>
      <c r="C13" s="25" t="s">
        <v>27</v>
      </c>
      <c r="D13" s="24" t="s">
        <v>61</v>
      </c>
      <c r="E13" s="24" t="s">
        <v>62</v>
      </c>
      <c r="F13" s="71">
        <v>46172</v>
      </c>
      <c r="G13" s="24" t="s">
        <v>64</v>
      </c>
      <c r="H13" s="24">
        <v>2.5</v>
      </c>
      <c r="I13" s="255">
        <v>16600</v>
      </c>
      <c r="J13" s="255">
        <f t="shared" si="0"/>
        <v>41500</v>
      </c>
      <c r="K13" s="143">
        <v>2.5</v>
      </c>
      <c r="L13" s="24">
        <f t="shared" si="1"/>
        <v>0</v>
      </c>
      <c r="M13" s="255">
        <v>41500</v>
      </c>
      <c r="N13" s="255">
        <f t="shared" si="2"/>
        <v>0</v>
      </c>
      <c r="O13" s="255">
        <f t="shared" si="3"/>
        <v>0</v>
      </c>
      <c r="P13" s="255">
        <v>16600</v>
      </c>
      <c r="Q13" s="255"/>
      <c r="R13" s="255">
        <f t="shared" si="4"/>
        <v>41500</v>
      </c>
      <c r="S13" s="25" t="s">
        <v>63</v>
      </c>
    </row>
    <row r="14" s="24" customFormat="1" ht="16" customHeight="1" spans="1:23">
      <c r="A14" s="24" t="s">
        <v>25</v>
      </c>
      <c r="B14" s="25" t="s">
        <v>65</v>
      </c>
      <c r="C14" s="25" t="s">
        <v>27</v>
      </c>
      <c r="D14" s="24" t="s">
        <v>66</v>
      </c>
      <c r="E14" s="24" t="s">
        <v>67</v>
      </c>
      <c r="F14" s="71">
        <v>46203</v>
      </c>
      <c r="G14" s="24" t="s">
        <v>41</v>
      </c>
      <c r="H14" s="24">
        <v>100</v>
      </c>
      <c r="I14" s="255">
        <v>15850</v>
      </c>
      <c r="J14" s="255">
        <f t="shared" si="0"/>
        <v>1585000</v>
      </c>
      <c r="K14" s="143">
        <f>53.76+41.36+4.88</f>
        <v>100</v>
      </c>
      <c r="L14" s="24">
        <f t="shared" si="1"/>
        <v>0</v>
      </c>
      <c r="M14" s="255">
        <f>高科收款!D38</f>
        <v>1585000</v>
      </c>
      <c r="N14" s="255">
        <f t="shared" si="2"/>
        <v>0</v>
      </c>
      <c r="O14" s="255">
        <f t="shared" si="3"/>
        <v>0</v>
      </c>
      <c r="P14" s="255">
        <v>15635</v>
      </c>
      <c r="Q14" s="255">
        <v>15500</v>
      </c>
      <c r="R14" s="255">
        <f t="shared" si="4"/>
        <v>1563500</v>
      </c>
      <c r="S14" s="25" t="s">
        <v>68</v>
      </c>
      <c r="T14" s="24">
        <v>320</v>
      </c>
      <c r="U14" s="24">
        <v>25</v>
      </c>
      <c r="V14" s="24">
        <v>10</v>
      </c>
      <c r="W14" s="24">
        <v>1280</v>
      </c>
    </row>
    <row r="15" s="24" customFormat="1" ht="16" customHeight="1" spans="1:24">
      <c r="A15" s="24" t="s">
        <v>37</v>
      </c>
      <c r="B15" s="25" t="s">
        <v>69</v>
      </c>
      <c r="C15" s="25" t="s">
        <v>39</v>
      </c>
      <c r="D15" s="24" t="s">
        <v>28</v>
      </c>
      <c r="E15" s="24" t="s">
        <v>70</v>
      </c>
      <c r="F15" s="71">
        <v>46204</v>
      </c>
      <c r="G15" s="24" t="s">
        <v>41</v>
      </c>
      <c r="H15" s="252">
        <v>24.2</v>
      </c>
      <c r="I15" s="255">
        <v>15200</v>
      </c>
      <c r="J15" s="255">
        <f t="shared" si="0"/>
        <v>367840</v>
      </c>
      <c r="K15" s="143">
        <v>24.2</v>
      </c>
      <c r="L15" s="66">
        <f t="shared" si="1"/>
        <v>0</v>
      </c>
      <c r="M15" s="255">
        <f>高科收款!D31+高科收款!D45-6688</f>
        <v>367840</v>
      </c>
      <c r="N15" s="255">
        <f t="shared" si="2"/>
        <v>0</v>
      </c>
      <c r="O15" s="255">
        <f t="shared" si="3"/>
        <v>0</v>
      </c>
      <c r="P15" s="255">
        <v>14725</v>
      </c>
      <c r="Q15" s="255">
        <v>14500</v>
      </c>
      <c r="R15" s="255">
        <f t="shared" si="4"/>
        <v>356345</v>
      </c>
      <c r="S15" s="25" t="s">
        <v>71</v>
      </c>
      <c r="X15" s="24">
        <v>112</v>
      </c>
    </row>
    <row r="16" s="24" customFormat="1" ht="16" customHeight="1" spans="1:23">
      <c r="A16" s="24" t="s">
        <v>25</v>
      </c>
      <c r="B16" s="25" t="s">
        <v>72</v>
      </c>
      <c r="C16" s="25" t="s">
        <v>27</v>
      </c>
      <c r="D16" s="24" t="s">
        <v>66</v>
      </c>
      <c r="E16" s="24" t="s">
        <v>73</v>
      </c>
      <c r="F16" s="71">
        <v>46234</v>
      </c>
      <c r="G16" s="24" t="s">
        <v>41</v>
      </c>
      <c r="H16" s="24">
        <v>100</v>
      </c>
      <c r="I16" s="255">
        <v>14820</v>
      </c>
      <c r="J16" s="255">
        <f t="shared" si="0"/>
        <v>1482000</v>
      </c>
      <c r="K16" s="143">
        <v>100</v>
      </c>
      <c r="L16" s="24">
        <f t="shared" si="1"/>
        <v>0</v>
      </c>
      <c r="M16" s="255">
        <f>高科收款!D47</f>
        <v>1482000</v>
      </c>
      <c r="N16" s="255">
        <f t="shared" si="2"/>
        <v>0</v>
      </c>
      <c r="O16" s="255">
        <f t="shared" si="3"/>
        <v>0</v>
      </c>
      <c r="P16" s="255">
        <v>14605</v>
      </c>
      <c r="Q16" s="255">
        <v>14500</v>
      </c>
      <c r="R16" s="255">
        <f t="shared" si="4"/>
        <v>1460500</v>
      </c>
      <c r="S16" s="25" t="s">
        <v>68</v>
      </c>
      <c r="T16" s="24">
        <v>320</v>
      </c>
      <c r="U16" s="24">
        <v>25</v>
      </c>
      <c r="V16" s="24">
        <v>10</v>
      </c>
      <c r="W16" s="24">
        <v>1280</v>
      </c>
    </row>
    <row r="17" s="24" customFormat="1" ht="16" customHeight="1" spans="1:19">
      <c r="A17" s="24" t="s">
        <v>25</v>
      </c>
      <c r="B17" s="25" t="s">
        <v>32</v>
      </c>
      <c r="C17" s="25" t="s">
        <v>27</v>
      </c>
      <c r="D17" s="24" t="s">
        <v>43</v>
      </c>
      <c r="E17" s="24" t="s">
        <v>74</v>
      </c>
      <c r="F17" s="71">
        <v>46188</v>
      </c>
      <c r="G17" s="24" t="s">
        <v>47</v>
      </c>
      <c r="H17" s="24">
        <v>5.01</v>
      </c>
      <c r="I17" s="255">
        <v>16300</v>
      </c>
      <c r="J17" s="255">
        <f t="shared" si="0"/>
        <v>81663</v>
      </c>
      <c r="K17" s="143">
        <f>5.01</f>
        <v>5.01</v>
      </c>
      <c r="L17" s="24">
        <f t="shared" si="1"/>
        <v>0</v>
      </c>
      <c r="M17" s="255">
        <v>81663</v>
      </c>
      <c r="N17" s="255">
        <f t="shared" si="2"/>
        <v>0</v>
      </c>
      <c r="O17" s="255">
        <f t="shared" si="3"/>
        <v>0</v>
      </c>
      <c r="P17" s="255">
        <v>16300</v>
      </c>
      <c r="Q17" s="255">
        <v>16250</v>
      </c>
      <c r="R17" s="255">
        <f t="shared" si="4"/>
        <v>81663</v>
      </c>
      <c r="S17" s="25" t="s">
        <v>46</v>
      </c>
    </row>
    <row r="18" s="24" customFormat="1" ht="15" customHeight="1" spans="1:23">
      <c r="A18" s="24" t="s">
        <v>25</v>
      </c>
      <c r="B18" s="25" t="s">
        <v>75</v>
      </c>
      <c r="C18" s="25" t="s">
        <v>27</v>
      </c>
      <c r="D18" s="24" t="s">
        <v>76</v>
      </c>
      <c r="E18" s="24" t="s">
        <v>77</v>
      </c>
      <c r="F18" s="71">
        <v>46215</v>
      </c>
      <c r="G18" s="24" t="s">
        <v>30</v>
      </c>
      <c r="H18" s="24">
        <v>17.92</v>
      </c>
      <c r="I18" s="255">
        <v>13400</v>
      </c>
      <c r="J18" s="255">
        <f t="shared" si="0"/>
        <v>240128</v>
      </c>
      <c r="K18" s="143">
        <v>17.92</v>
      </c>
      <c r="L18" s="24">
        <f t="shared" si="1"/>
        <v>0</v>
      </c>
      <c r="M18" s="255">
        <f>高科收款!D61</f>
        <v>240128</v>
      </c>
      <c r="N18" s="255">
        <f t="shared" si="2"/>
        <v>0</v>
      </c>
      <c r="O18" s="255">
        <f t="shared" si="3"/>
        <v>0</v>
      </c>
      <c r="P18" s="255">
        <v>13163</v>
      </c>
      <c r="Q18" s="255">
        <v>13000</v>
      </c>
      <c r="R18" s="255">
        <f t="shared" si="4"/>
        <v>235880.96</v>
      </c>
      <c r="S18" s="25" t="s">
        <v>68</v>
      </c>
      <c r="T18" s="24">
        <v>32</v>
      </c>
      <c r="U18" s="24">
        <v>4</v>
      </c>
      <c r="V18" s="24">
        <v>1</v>
      </c>
      <c r="W18" s="24">
        <v>128</v>
      </c>
    </row>
    <row r="19" s="24" customFormat="1" ht="16" customHeight="1" spans="1:20">
      <c r="A19" s="24" t="s">
        <v>25</v>
      </c>
      <c r="B19" s="25" t="s">
        <v>75</v>
      </c>
      <c r="C19" s="25" t="s">
        <v>27</v>
      </c>
      <c r="D19" s="24" t="s">
        <v>28</v>
      </c>
      <c r="E19" s="24" t="s">
        <v>78</v>
      </c>
      <c r="F19" s="71">
        <v>46218</v>
      </c>
      <c r="G19" s="24" t="s">
        <v>35</v>
      </c>
      <c r="H19" s="24">
        <v>1.5</v>
      </c>
      <c r="I19" s="255">
        <v>15850</v>
      </c>
      <c r="J19" s="255">
        <f t="shared" si="0"/>
        <v>23775</v>
      </c>
      <c r="K19" s="143">
        <v>1.5</v>
      </c>
      <c r="L19" s="24">
        <f t="shared" si="1"/>
        <v>0</v>
      </c>
      <c r="M19" s="255">
        <f>高科收款!D60</f>
        <v>23775</v>
      </c>
      <c r="N19" s="255">
        <f t="shared" si="2"/>
        <v>0</v>
      </c>
      <c r="O19" s="255">
        <f t="shared" si="3"/>
        <v>0</v>
      </c>
      <c r="P19" s="255">
        <v>15500</v>
      </c>
      <c r="Q19" s="255">
        <v>15400</v>
      </c>
      <c r="R19" s="255">
        <f t="shared" si="4"/>
        <v>23250</v>
      </c>
      <c r="S19" s="25" t="s">
        <v>79</v>
      </c>
      <c r="T19" s="24">
        <v>3</v>
      </c>
    </row>
    <row r="20" s="24" customFormat="1" ht="16" customHeight="1" spans="1:19">
      <c r="A20" s="24" t="s">
        <v>37</v>
      </c>
      <c r="B20" s="25" t="s">
        <v>75</v>
      </c>
      <c r="C20" s="25" t="s">
        <v>27</v>
      </c>
      <c r="D20" s="24" t="s">
        <v>80</v>
      </c>
      <c r="E20" s="24" t="s">
        <v>81</v>
      </c>
      <c r="F20" s="71">
        <v>46219</v>
      </c>
      <c r="G20" s="24" t="s">
        <v>30</v>
      </c>
      <c r="H20" s="24">
        <v>7</v>
      </c>
      <c r="I20" s="255">
        <v>13000</v>
      </c>
      <c r="J20" s="255">
        <f t="shared" si="0"/>
        <v>91000</v>
      </c>
      <c r="K20" s="143">
        <v>7</v>
      </c>
      <c r="L20" s="24">
        <f t="shared" si="1"/>
        <v>0</v>
      </c>
      <c r="M20" s="255">
        <f>高科收款!D63</f>
        <v>91000</v>
      </c>
      <c r="N20" s="255">
        <f t="shared" si="2"/>
        <v>0</v>
      </c>
      <c r="O20" s="255">
        <f t="shared" si="3"/>
        <v>0</v>
      </c>
      <c r="P20" s="255">
        <v>13000</v>
      </c>
      <c r="Q20" s="255">
        <v>13000</v>
      </c>
      <c r="R20" s="255">
        <f t="shared" si="4"/>
        <v>91000</v>
      </c>
      <c r="S20" s="25" t="s">
        <v>82</v>
      </c>
    </row>
    <row r="21" s="24" customFormat="1" ht="16" customHeight="1" spans="1:23">
      <c r="A21" s="24" t="s">
        <v>37</v>
      </c>
      <c r="B21" s="25" t="s">
        <v>75</v>
      </c>
      <c r="C21" s="25" t="s">
        <v>27</v>
      </c>
      <c r="D21" s="24" t="s">
        <v>28</v>
      </c>
      <c r="E21" s="24" t="s">
        <v>83</v>
      </c>
      <c r="F21" s="71">
        <v>46235</v>
      </c>
      <c r="G21" s="24" t="s">
        <v>41</v>
      </c>
      <c r="H21" s="24">
        <v>266.24</v>
      </c>
      <c r="I21" s="255">
        <v>12200</v>
      </c>
      <c r="J21" s="255">
        <f t="shared" si="0"/>
        <v>3248128</v>
      </c>
      <c r="K21" s="143">
        <f>61.44+61.44+61.44+40.96+40.96</f>
        <v>266.24</v>
      </c>
      <c r="L21" s="24">
        <f t="shared" si="1"/>
        <v>0</v>
      </c>
      <c r="M21" s="255">
        <f>741440+高科收款!D68+高科收款!D69+6688</f>
        <v>3248128</v>
      </c>
      <c r="N21" s="255">
        <f t="shared" si="2"/>
        <v>0</v>
      </c>
      <c r="O21" s="255">
        <f t="shared" si="3"/>
        <v>0</v>
      </c>
      <c r="P21" s="255">
        <v>12008</v>
      </c>
      <c r="Q21" s="255">
        <v>11800</v>
      </c>
      <c r="R21" s="255">
        <f t="shared" si="4"/>
        <v>3197009.92</v>
      </c>
      <c r="S21" s="25" t="s">
        <v>68</v>
      </c>
      <c r="T21" s="24">
        <v>416</v>
      </c>
      <c r="U21" s="24">
        <v>26</v>
      </c>
      <c r="V21" s="24">
        <v>13</v>
      </c>
      <c r="W21" s="24">
        <v>1664</v>
      </c>
    </row>
    <row r="22" s="110" customFormat="1" ht="16" customHeight="1" spans="1:19">
      <c r="A22" s="110" t="s">
        <v>25</v>
      </c>
      <c r="B22" s="176" t="s">
        <v>32</v>
      </c>
      <c r="C22" s="176" t="s">
        <v>27</v>
      </c>
      <c r="D22" s="110" t="s">
        <v>43</v>
      </c>
      <c r="E22" s="110" t="s">
        <v>84</v>
      </c>
      <c r="F22" s="112">
        <v>46223</v>
      </c>
      <c r="G22" s="110" t="s">
        <v>47</v>
      </c>
      <c r="H22" s="110">
        <v>5.01</v>
      </c>
      <c r="I22" s="256">
        <v>13000</v>
      </c>
      <c r="J22" s="256">
        <f t="shared" si="0"/>
        <v>65130</v>
      </c>
      <c r="K22" s="143">
        <v>5.01</v>
      </c>
      <c r="L22" s="110">
        <f t="shared" si="1"/>
        <v>0</v>
      </c>
      <c r="M22" s="256">
        <v>65130</v>
      </c>
      <c r="N22" s="256">
        <f t="shared" si="2"/>
        <v>0</v>
      </c>
      <c r="O22" s="256">
        <f t="shared" si="3"/>
        <v>0</v>
      </c>
      <c r="P22" s="256">
        <v>13000</v>
      </c>
      <c r="Q22" s="256">
        <v>12750</v>
      </c>
      <c r="R22" s="256">
        <f t="shared" si="4"/>
        <v>65130</v>
      </c>
      <c r="S22" s="176" t="s">
        <v>46</v>
      </c>
    </row>
    <row r="23" s="110" customFormat="1" ht="16" customHeight="1" spans="1:19">
      <c r="A23" s="110" t="s">
        <v>25</v>
      </c>
      <c r="B23" s="176" t="s">
        <v>32</v>
      </c>
      <c r="C23" s="176" t="s">
        <v>27</v>
      </c>
      <c r="D23" s="110" t="s">
        <v>43</v>
      </c>
      <c r="E23" s="110" t="s">
        <v>84</v>
      </c>
      <c r="F23" s="112">
        <v>46223</v>
      </c>
      <c r="G23" s="110" t="s">
        <v>45</v>
      </c>
      <c r="H23" s="110">
        <v>5.01</v>
      </c>
      <c r="I23" s="256">
        <v>13000</v>
      </c>
      <c r="J23" s="256">
        <f t="shared" si="0"/>
        <v>65130</v>
      </c>
      <c r="K23" s="143">
        <v>5.01</v>
      </c>
      <c r="L23" s="110">
        <f t="shared" si="1"/>
        <v>0</v>
      </c>
      <c r="M23" s="256">
        <v>65130</v>
      </c>
      <c r="N23" s="256">
        <f t="shared" si="2"/>
        <v>0</v>
      </c>
      <c r="O23" s="256">
        <f t="shared" si="3"/>
        <v>0</v>
      </c>
      <c r="P23" s="256">
        <v>13000</v>
      </c>
      <c r="Q23" s="256">
        <v>12750</v>
      </c>
      <c r="R23" s="256">
        <f t="shared" si="4"/>
        <v>65130</v>
      </c>
      <c r="S23" s="176" t="s">
        <v>46</v>
      </c>
    </row>
    <row r="24" s="110" customFormat="1" ht="16" customHeight="1" spans="1:19">
      <c r="A24" s="110" t="s">
        <v>37</v>
      </c>
      <c r="B24" s="176" t="s">
        <v>32</v>
      </c>
      <c r="C24" s="176" t="s">
        <v>39</v>
      </c>
      <c r="D24" s="110" t="s">
        <v>85</v>
      </c>
      <c r="E24" s="110" t="s">
        <v>86</v>
      </c>
      <c r="F24" s="112">
        <v>46223</v>
      </c>
      <c r="G24" s="110" t="s">
        <v>35</v>
      </c>
      <c r="H24" s="110">
        <v>3</v>
      </c>
      <c r="I24" s="256">
        <v>13100</v>
      </c>
      <c r="J24" s="256">
        <f t="shared" si="0"/>
        <v>39300</v>
      </c>
      <c r="K24" s="143">
        <f>2.865+0.135</f>
        <v>3</v>
      </c>
      <c r="L24" s="110">
        <f t="shared" si="1"/>
        <v>0</v>
      </c>
      <c r="M24" s="256">
        <f>高科收款!D70</f>
        <v>39300</v>
      </c>
      <c r="N24" s="256">
        <f t="shared" si="2"/>
        <v>0</v>
      </c>
      <c r="O24" s="256">
        <f t="shared" si="3"/>
        <v>0</v>
      </c>
      <c r="P24" s="256">
        <v>12720</v>
      </c>
      <c r="Q24" s="256">
        <v>12600</v>
      </c>
      <c r="R24" s="256">
        <f t="shared" si="4"/>
        <v>38160</v>
      </c>
      <c r="S24" s="176" t="s">
        <v>46</v>
      </c>
    </row>
    <row r="25" s="110" customFormat="1" ht="16" customHeight="1" spans="1:19">
      <c r="A25" s="110" t="s">
        <v>37</v>
      </c>
      <c r="B25" s="176" t="s">
        <v>32</v>
      </c>
      <c r="C25" s="176" t="s">
        <v>39</v>
      </c>
      <c r="D25" s="110" t="s">
        <v>28</v>
      </c>
      <c r="E25" s="110" t="s">
        <v>87</v>
      </c>
      <c r="F25" s="112">
        <v>46265</v>
      </c>
      <c r="G25" s="66" t="s">
        <v>41</v>
      </c>
      <c r="H25" s="110">
        <v>89.32</v>
      </c>
      <c r="I25" s="256">
        <v>12000</v>
      </c>
      <c r="J25" s="256">
        <f t="shared" si="0"/>
        <v>1071840</v>
      </c>
      <c r="K25" s="143">
        <f>50.6+25.52+13.2</f>
        <v>89.32</v>
      </c>
      <c r="L25" s="110">
        <f t="shared" si="1"/>
        <v>0</v>
      </c>
      <c r="M25" s="256">
        <f>高科收款!D75+高科收款!D76</f>
        <v>1071840</v>
      </c>
      <c r="N25" s="256">
        <f t="shared" si="2"/>
        <v>0</v>
      </c>
      <c r="O25" s="256">
        <f t="shared" si="3"/>
        <v>0</v>
      </c>
      <c r="P25" s="256">
        <v>11500</v>
      </c>
      <c r="Q25" s="256">
        <v>11300</v>
      </c>
      <c r="R25" s="256">
        <f t="shared" si="4"/>
        <v>1027180</v>
      </c>
      <c r="S25" s="176" t="s">
        <v>71</v>
      </c>
    </row>
    <row r="26" s="110" customFormat="1" ht="16" customHeight="1" spans="1:19">
      <c r="A26" s="110" t="s">
        <v>25</v>
      </c>
      <c r="B26" s="176" t="s">
        <v>32</v>
      </c>
      <c r="C26" s="176" t="s">
        <v>27</v>
      </c>
      <c r="D26" s="110" t="s">
        <v>88</v>
      </c>
      <c r="E26" s="110" t="s">
        <v>89</v>
      </c>
      <c r="F26" s="112">
        <v>46223</v>
      </c>
      <c r="G26" s="110" t="s">
        <v>35</v>
      </c>
      <c r="H26" s="110">
        <v>0.06</v>
      </c>
      <c r="I26" s="256">
        <v>15000</v>
      </c>
      <c r="J26" s="256">
        <f t="shared" si="0"/>
        <v>900</v>
      </c>
      <c r="K26" s="143">
        <v>0.06</v>
      </c>
      <c r="L26" s="110">
        <f t="shared" si="1"/>
        <v>0</v>
      </c>
      <c r="M26" s="256">
        <f>高科收款!D78</f>
        <v>900</v>
      </c>
      <c r="N26" s="256">
        <f t="shared" si="2"/>
        <v>0</v>
      </c>
      <c r="O26" s="256">
        <f t="shared" si="3"/>
        <v>0</v>
      </c>
      <c r="P26" s="256">
        <v>15000</v>
      </c>
      <c r="Q26" s="256">
        <v>12600</v>
      </c>
      <c r="R26" s="256">
        <f t="shared" si="4"/>
        <v>900</v>
      </c>
      <c r="S26" s="176" t="s">
        <v>46</v>
      </c>
    </row>
    <row r="27" s="110" customFormat="1" ht="16" customHeight="1" spans="1:24">
      <c r="A27" s="110" t="s">
        <v>25</v>
      </c>
      <c r="B27" s="176" t="s">
        <v>38</v>
      </c>
      <c r="C27" s="176" t="s">
        <v>27</v>
      </c>
      <c r="D27" s="110" t="s">
        <v>66</v>
      </c>
      <c r="E27" s="143" t="s">
        <v>90</v>
      </c>
      <c r="F27" s="112">
        <v>46233</v>
      </c>
      <c r="G27" s="110" t="s">
        <v>30</v>
      </c>
      <c r="H27" s="110">
        <v>153.6</v>
      </c>
      <c r="I27" s="256">
        <v>12355</v>
      </c>
      <c r="J27" s="256">
        <f t="shared" si="0"/>
        <v>1897728</v>
      </c>
      <c r="K27" s="143">
        <f>38.4+57.6+57.6</f>
        <v>153.6</v>
      </c>
      <c r="L27" s="110">
        <f t="shared" si="1"/>
        <v>0</v>
      </c>
      <c r="M27" s="256">
        <f>高科收款!D80+高科收款!D82</f>
        <v>1897728</v>
      </c>
      <c r="N27" s="256">
        <f t="shared" si="2"/>
        <v>0</v>
      </c>
      <c r="O27" s="256">
        <f t="shared" si="3"/>
        <v>0</v>
      </c>
      <c r="P27" s="256">
        <v>12111</v>
      </c>
      <c r="Q27" s="256">
        <v>12100</v>
      </c>
      <c r="R27" s="256">
        <f t="shared" si="4"/>
        <v>1860249.6</v>
      </c>
      <c r="S27" s="176" t="s">
        <v>91</v>
      </c>
      <c r="T27" s="110">
        <v>128</v>
      </c>
      <c r="V27" s="110">
        <v>8</v>
      </c>
      <c r="W27" s="110">
        <v>512</v>
      </c>
      <c r="X27" s="110">
        <v>256</v>
      </c>
    </row>
    <row r="28" s="110" customFormat="1" ht="16" customHeight="1" spans="1:23">
      <c r="A28" s="110" t="s">
        <v>37</v>
      </c>
      <c r="B28" s="176" t="s">
        <v>32</v>
      </c>
      <c r="C28" s="176" t="s">
        <v>27</v>
      </c>
      <c r="D28" s="110" t="s">
        <v>28</v>
      </c>
      <c r="E28" s="143" t="s">
        <v>92</v>
      </c>
      <c r="F28" s="112">
        <v>46265</v>
      </c>
      <c r="G28" s="110" t="s">
        <v>41</v>
      </c>
      <c r="H28" s="110">
        <v>389.12</v>
      </c>
      <c r="I28" s="256">
        <v>12200</v>
      </c>
      <c r="J28" s="256">
        <f t="shared" si="0"/>
        <v>4747264</v>
      </c>
      <c r="K28" s="143">
        <f>41+61.5+61.5+61.5+163.62</f>
        <v>389.12</v>
      </c>
      <c r="L28" s="110">
        <f t="shared" si="1"/>
        <v>0</v>
      </c>
      <c r="M28" s="256">
        <f>高科收款!D79+高科收款!D88+高科收款!D92+1765568</f>
        <v>4747264</v>
      </c>
      <c r="N28" s="256">
        <f t="shared" si="2"/>
        <v>0</v>
      </c>
      <c r="O28" s="256">
        <f t="shared" si="3"/>
        <v>0</v>
      </c>
      <c r="P28" s="256">
        <v>12010</v>
      </c>
      <c r="Q28" s="256">
        <v>12000</v>
      </c>
      <c r="R28" s="256">
        <f t="shared" si="4"/>
        <v>4673331.2</v>
      </c>
      <c r="S28" s="176" t="s">
        <v>68</v>
      </c>
      <c r="T28" s="257">
        <f>32*20</f>
        <v>640</v>
      </c>
      <c r="U28" s="257">
        <f>2*20</f>
        <v>40</v>
      </c>
      <c r="V28" s="257">
        <f>1*20</f>
        <v>20</v>
      </c>
      <c r="W28" s="257">
        <f>128*20</f>
        <v>2560</v>
      </c>
    </row>
    <row r="29" s="110" customFormat="1" ht="16" customHeight="1" spans="1:23">
      <c r="A29" s="110" t="s">
        <v>37</v>
      </c>
      <c r="B29" s="176" t="s">
        <v>32</v>
      </c>
      <c r="C29" s="176" t="s">
        <v>27</v>
      </c>
      <c r="D29" s="110" t="s">
        <v>28</v>
      </c>
      <c r="E29" s="143" t="s">
        <v>92</v>
      </c>
      <c r="F29" s="112">
        <v>46265</v>
      </c>
      <c r="G29" s="110" t="s">
        <v>30</v>
      </c>
      <c r="H29" s="110">
        <v>19.2</v>
      </c>
      <c r="I29" s="256">
        <v>12210</v>
      </c>
      <c r="J29" s="256">
        <f t="shared" si="0"/>
        <v>234432</v>
      </c>
      <c r="K29" s="143">
        <v>19.2</v>
      </c>
      <c r="L29" s="110">
        <f t="shared" si="1"/>
        <v>0</v>
      </c>
      <c r="M29" s="256">
        <f>高科收款!D93-1765568</f>
        <v>234432</v>
      </c>
      <c r="N29" s="256">
        <f t="shared" si="2"/>
        <v>0</v>
      </c>
      <c r="O29" s="256">
        <f t="shared" si="3"/>
        <v>0</v>
      </c>
      <c r="P29" s="256">
        <v>12008</v>
      </c>
      <c r="Q29" s="256">
        <v>12000</v>
      </c>
      <c r="R29" s="256">
        <f t="shared" si="4"/>
        <v>230553.6</v>
      </c>
      <c r="S29" s="176" t="s">
        <v>68</v>
      </c>
      <c r="T29" s="199"/>
      <c r="U29" s="199"/>
      <c r="V29" s="199"/>
      <c r="W29" s="199"/>
    </row>
    <row r="30" s="110" customFormat="1" ht="15" customHeight="1" spans="1:23">
      <c r="A30" s="110" t="s">
        <v>25</v>
      </c>
      <c r="B30" s="176" t="s">
        <v>32</v>
      </c>
      <c r="C30" s="176" t="s">
        <v>27</v>
      </c>
      <c r="D30" s="110" t="s">
        <v>93</v>
      </c>
      <c r="E30" s="143" t="s">
        <v>94</v>
      </c>
      <c r="F30" s="112">
        <v>46225</v>
      </c>
      <c r="G30" s="110" t="s">
        <v>30</v>
      </c>
      <c r="H30" s="110">
        <v>0.3</v>
      </c>
      <c r="I30" s="256">
        <v>14000</v>
      </c>
      <c r="J30" s="256">
        <f t="shared" si="0"/>
        <v>4200</v>
      </c>
      <c r="K30" s="143">
        <v>0.3</v>
      </c>
      <c r="L30" s="110">
        <f t="shared" si="1"/>
        <v>0</v>
      </c>
      <c r="M30" s="256">
        <f>高科收款!D87</f>
        <v>4200</v>
      </c>
      <c r="N30" s="256">
        <f t="shared" si="2"/>
        <v>0</v>
      </c>
      <c r="O30" s="256">
        <f t="shared" si="3"/>
        <v>0</v>
      </c>
      <c r="P30" s="256">
        <v>14000</v>
      </c>
      <c r="Q30" s="256">
        <v>13000</v>
      </c>
      <c r="R30" s="256">
        <f t="shared" si="4"/>
        <v>4200</v>
      </c>
      <c r="S30" s="176" t="s">
        <v>82</v>
      </c>
      <c r="T30" s="199"/>
      <c r="U30" s="199"/>
      <c r="V30" s="199"/>
      <c r="W30" s="199"/>
    </row>
    <row r="31" s="110" customFormat="1" ht="16" customHeight="1" spans="1:23">
      <c r="A31" s="110" t="s">
        <v>25</v>
      </c>
      <c r="B31" s="176" t="s">
        <v>32</v>
      </c>
      <c r="C31" s="176" t="s">
        <v>27</v>
      </c>
      <c r="D31" s="110" t="s">
        <v>43</v>
      </c>
      <c r="E31" s="143" t="s">
        <v>95</v>
      </c>
      <c r="F31" s="112">
        <v>46233</v>
      </c>
      <c r="G31" s="110" t="s">
        <v>45</v>
      </c>
      <c r="H31" s="110">
        <v>6</v>
      </c>
      <c r="I31" s="256">
        <v>14500</v>
      </c>
      <c r="J31" s="256">
        <f t="shared" si="0"/>
        <v>87000</v>
      </c>
      <c r="K31" s="143">
        <v>6</v>
      </c>
      <c r="L31" s="110">
        <f t="shared" si="1"/>
        <v>0</v>
      </c>
      <c r="M31" s="256">
        <v>87000</v>
      </c>
      <c r="N31" s="256">
        <f t="shared" si="2"/>
        <v>0</v>
      </c>
      <c r="O31" s="256">
        <f t="shared" si="3"/>
        <v>0</v>
      </c>
      <c r="P31" s="256">
        <v>14500</v>
      </c>
      <c r="Q31" s="256">
        <v>14250</v>
      </c>
      <c r="R31" s="256">
        <f t="shared" si="4"/>
        <v>87000</v>
      </c>
      <c r="S31" s="176" t="s">
        <v>46</v>
      </c>
      <c r="T31" s="199"/>
      <c r="U31" s="199"/>
      <c r="V31" s="199"/>
      <c r="W31" s="199"/>
    </row>
    <row r="32" s="110" customFormat="1" ht="16" customHeight="1" spans="1:23">
      <c r="A32" s="110" t="s">
        <v>25</v>
      </c>
      <c r="B32" s="176" t="s">
        <v>32</v>
      </c>
      <c r="C32" s="176" t="s">
        <v>27</v>
      </c>
      <c r="D32" s="110" t="s">
        <v>96</v>
      </c>
      <c r="E32" s="143" t="s">
        <v>97</v>
      </c>
      <c r="F32" s="112">
        <v>46244</v>
      </c>
      <c r="G32" s="110" t="s">
        <v>64</v>
      </c>
      <c r="H32" s="110">
        <v>25</v>
      </c>
      <c r="I32" s="256">
        <v>13700</v>
      </c>
      <c r="J32" s="256">
        <f t="shared" si="0"/>
        <v>342500</v>
      </c>
      <c r="K32" s="143">
        <v>25</v>
      </c>
      <c r="L32" s="110">
        <f t="shared" si="1"/>
        <v>0</v>
      </c>
      <c r="M32" s="256">
        <f>高科收款!D91</f>
        <v>342500</v>
      </c>
      <c r="N32" s="256">
        <f t="shared" si="2"/>
        <v>0</v>
      </c>
      <c r="O32" s="256">
        <f t="shared" si="3"/>
        <v>0</v>
      </c>
      <c r="P32" s="256">
        <v>13700</v>
      </c>
      <c r="Q32" s="256"/>
      <c r="R32" s="256">
        <f t="shared" si="4"/>
        <v>342500</v>
      </c>
      <c r="S32" s="176"/>
      <c r="T32" s="199"/>
      <c r="U32" s="199"/>
      <c r="V32" s="199"/>
      <c r="W32" s="199"/>
    </row>
    <row r="33" s="110" customFormat="1" ht="16" customHeight="1" spans="1:23">
      <c r="A33" s="110" t="s">
        <v>37</v>
      </c>
      <c r="B33" s="176" t="s">
        <v>32</v>
      </c>
      <c r="C33" s="176" t="s">
        <v>39</v>
      </c>
      <c r="D33" s="110" t="s">
        <v>28</v>
      </c>
      <c r="E33" s="143" t="s">
        <v>98</v>
      </c>
      <c r="F33" s="112">
        <v>46265</v>
      </c>
      <c r="G33" s="110" t="s">
        <v>41</v>
      </c>
      <c r="H33" s="110">
        <v>70.84</v>
      </c>
      <c r="I33" s="256">
        <v>13600</v>
      </c>
      <c r="J33" s="256">
        <f t="shared" si="0"/>
        <v>963424</v>
      </c>
      <c r="K33" s="143">
        <f>26.4+26.4</f>
        <v>52.8</v>
      </c>
      <c r="L33" s="110">
        <f t="shared" si="1"/>
        <v>18.04</v>
      </c>
      <c r="M33" s="256">
        <f>高科收款!D110</f>
        <v>963424</v>
      </c>
      <c r="N33" s="256">
        <f t="shared" si="2"/>
        <v>0</v>
      </c>
      <c r="O33" s="256">
        <f t="shared" si="3"/>
        <v>-245344</v>
      </c>
      <c r="P33" s="256">
        <v>13110</v>
      </c>
      <c r="Q33" s="256">
        <v>13100</v>
      </c>
      <c r="R33" s="256">
        <f t="shared" si="4"/>
        <v>928712.4</v>
      </c>
      <c r="S33" s="176" t="s">
        <v>99</v>
      </c>
      <c r="T33" s="199"/>
      <c r="U33" s="199"/>
      <c r="V33" s="199"/>
      <c r="W33" s="199"/>
    </row>
    <row r="34" s="110" customFormat="1" ht="16" customHeight="1" spans="1:23">
      <c r="A34" s="110" t="s">
        <v>25</v>
      </c>
      <c r="B34" s="176" t="s">
        <v>32</v>
      </c>
      <c r="C34" s="176" t="s">
        <v>27</v>
      </c>
      <c r="D34" s="110" t="s">
        <v>66</v>
      </c>
      <c r="E34" s="143" t="s">
        <v>100</v>
      </c>
      <c r="F34" s="112">
        <v>46249</v>
      </c>
      <c r="G34" s="110" t="s">
        <v>30</v>
      </c>
      <c r="H34" s="110">
        <v>19.2</v>
      </c>
      <c r="I34" s="256">
        <v>13350</v>
      </c>
      <c r="J34" s="256">
        <f t="shared" si="0"/>
        <v>256320</v>
      </c>
      <c r="K34" s="143">
        <v>19.2</v>
      </c>
      <c r="L34" s="110">
        <f t="shared" si="1"/>
        <v>0</v>
      </c>
      <c r="M34" s="256">
        <f>高科收款!D111</f>
        <v>256320</v>
      </c>
      <c r="N34" s="256">
        <f t="shared" si="2"/>
        <v>0</v>
      </c>
      <c r="O34" s="256">
        <f t="shared" si="3"/>
        <v>0</v>
      </c>
      <c r="P34" s="256">
        <v>13110</v>
      </c>
      <c r="Q34" s="256"/>
      <c r="R34" s="256">
        <f t="shared" si="4"/>
        <v>251712</v>
      </c>
      <c r="S34" s="176" t="s">
        <v>68</v>
      </c>
      <c r="T34" s="199">
        <v>32</v>
      </c>
      <c r="U34" s="199">
        <v>2</v>
      </c>
      <c r="V34" s="199">
        <v>1</v>
      </c>
      <c r="W34" s="199">
        <v>64</v>
      </c>
    </row>
    <row r="35" s="110" customFormat="1" ht="16" customHeight="1" spans="1:23">
      <c r="A35" s="110" t="s">
        <v>25</v>
      </c>
      <c r="B35" s="176" t="s">
        <v>32</v>
      </c>
      <c r="C35" s="176" t="s">
        <v>27</v>
      </c>
      <c r="D35" s="110" t="s">
        <v>101</v>
      </c>
      <c r="E35" s="143" t="s">
        <v>102</v>
      </c>
      <c r="F35" s="68">
        <v>46253</v>
      </c>
      <c r="G35" s="110" t="s">
        <v>64</v>
      </c>
      <c r="H35" s="110">
        <v>27</v>
      </c>
      <c r="I35" s="256">
        <v>14000</v>
      </c>
      <c r="J35" s="256">
        <f t="shared" si="0"/>
        <v>378000</v>
      </c>
      <c r="K35" s="143">
        <v>27</v>
      </c>
      <c r="L35" s="110">
        <f t="shared" si="1"/>
        <v>0</v>
      </c>
      <c r="M35" s="256">
        <f>高科收款!D100</f>
        <v>378000</v>
      </c>
      <c r="N35" s="256">
        <f t="shared" si="2"/>
        <v>0</v>
      </c>
      <c r="O35" s="256">
        <f t="shared" si="3"/>
        <v>0</v>
      </c>
      <c r="P35" s="256">
        <v>14000</v>
      </c>
      <c r="Q35" s="256">
        <v>13700</v>
      </c>
      <c r="R35" s="256">
        <f t="shared" si="4"/>
        <v>378000</v>
      </c>
      <c r="S35" s="176"/>
      <c r="T35" s="199"/>
      <c r="U35" s="199"/>
      <c r="V35" s="199"/>
      <c r="W35" s="199"/>
    </row>
    <row r="36" s="110" customFormat="1" ht="13" customHeight="1" spans="1:23">
      <c r="A36" s="110" t="s">
        <v>37</v>
      </c>
      <c r="B36" s="176" t="s">
        <v>32</v>
      </c>
      <c r="C36" s="176" t="s">
        <v>39</v>
      </c>
      <c r="D36" s="110" t="s">
        <v>28</v>
      </c>
      <c r="E36" s="143" t="s">
        <v>103</v>
      </c>
      <c r="F36" s="112">
        <v>46265</v>
      </c>
      <c r="G36" s="110" t="s">
        <v>41</v>
      </c>
      <c r="H36" s="110">
        <v>0.38</v>
      </c>
      <c r="I36" s="256">
        <v>12800</v>
      </c>
      <c r="J36" s="256">
        <f t="shared" si="0"/>
        <v>4864</v>
      </c>
      <c r="K36" s="143">
        <v>0.38</v>
      </c>
      <c r="L36" s="110">
        <f t="shared" si="1"/>
        <v>0</v>
      </c>
      <c r="M36" s="256">
        <f>高科收款!D94</f>
        <v>4864</v>
      </c>
      <c r="N36" s="256">
        <f t="shared" si="2"/>
        <v>0</v>
      </c>
      <c r="O36" s="256">
        <f t="shared" si="3"/>
        <v>0</v>
      </c>
      <c r="P36" s="256">
        <v>12800</v>
      </c>
      <c r="Q36" s="256">
        <v>12600</v>
      </c>
      <c r="R36" s="256">
        <f t="shared" si="4"/>
        <v>4864</v>
      </c>
      <c r="S36" s="176" t="s">
        <v>104</v>
      </c>
      <c r="T36" s="199"/>
      <c r="U36" s="199"/>
      <c r="V36" s="199"/>
      <c r="W36" s="199"/>
    </row>
    <row r="37" s="110" customFormat="1" ht="13" customHeight="1" spans="1:23">
      <c r="A37" s="110" t="s">
        <v>25</v>
      </c>
      <c r="B37" s="176" t="s">
        <v>32</v>
      </c>
      <c r="C37" s="176" t="s">
        <v>27</v>
      </c>
      <c r="D37" s="110" t="s">
        <v>66</v>
      </c>
      <c r="E37" s="143" t="s">
        <v>105</v>
      </c>
      <c r="F37" s="112">
        <v>46264</v>
      </c>
      <c r="G37" s="110" t="s">
        <v>41</v>
      </c>
      <c r="H37" s="66">
        <v>34</v>
      </c>
      <c r="I37" s="256">
        <v>12100</v>
      </c>
      <c r="J37" s="256">
        <f t="shared" si="0"/>
        <v>411400</v>
      </c>
      <c r="K37" s="110">
        <v>34</v>
      </c>
      <c r="L37" s="110">
        <f t="shared" si="1"/>
        <v>0</v>
      </c>
      <c r="M37" s="256">
        <f>513300-101900</f>
        <v>411400</v>
      </c>
      <c r="N37" s="256">
        <f t="shared" si="2"/>
        <v>0</v>
      </c>
      <c r="O37" s="256">
        <f t="shared" si="3"/>
        <v>0</v>
      </c>
      <c r="P37" s="256">
        <v>12100</v>
      </c>
      <c r="Q37" s="256"/>
      <c r="R37" s="256">
        <f t="shared" si="4"/>
        <v>411400</v>
      </c>
      <c r="S37" s="176"/>
      <c r="T37" s="199"/>
      <c r="U37" s="199"/>
      <c r="V37" s="199"/>
      <c r="W37" s="199"/>
    </row>
    <row r="38" s="110" customFormat="1" ht="13" customHeight="1" spans="1:23">
      <c r="A38" s="110" t="s">
        <v>25</v>
      </c>
      <c r="B38" s="176" t="s">
        <v>32</v>
      </c>
      <c r="C38" s="176" t="s">
        <v>27</v>
      </c>
      <c r="D38" s="110" t="s">
        <v>66</v>
      </c>
      <c r="E38" s="143" t="s">
        <v>105</v>
      </c>
      <c r="F38" s="112">
        <v>46264</v>
      </c>
      <c r="G38" s="110" t="s">
        <v>35</v>
      </c>
      <c r="H38" s="66">
        <v>6</v>
      </c>
      <c r="I38" s="256">
        <v>13800</v>
      </c>
      <c r="J38" s="256">
        <f t="shared" si="0"/>
        <v>82800</v>
      </c>
      <c r="K38" s="110">
        <v>6</v>
      </c>
      <c r="L38" s="110">
        <f t="shared" si="1"/>
        <v>0</v>
      </c>
      <c r="M38" s="256">
        <v>101900</v>
      </c>
      <c r="N38" s="256">
        <f t="shared" si="2"/>
        <v>-19100</v>
      </c>
      <c r="O38" s="256">
        <f t="shared" si="3"/>
        <v>-19100</v>
      </c>
      <c r="P38" s="256">
        <v>13800</v>
      </c>
      <c r="Q38" s="256"/>
      <c r="R38" s="256">
        <f t="shared" si="4"/>
        <v>82800</v>
      </c>
      <c r="S38" s="176"/>
      <c r="T38" s="199"/>
      <c r="U38" s="199"/>
      <c r="V38" s="199"/>
      <c r="W38" s="199"/>
    </row>
    <row r="39" s="110" customFormat="1" ht="13" customHeight="1" spans="1:23">
      <c r="A39" s="110" t="s">
        <v>25</v>
      </c>
      <c r="B39" s="176" t="s">
        <v>32</v>
      </c>
      <c r="C39" s="176" t="s">
        <v>27</v>
      </c>
      <c r="D39" s="110" t="s">
        <v>43</v>
      </c>
      <c r="E39" s="143" t="s">
        <v>106</v>
      </c>
      <c r="F39" s="112">
        <v>46254</v>
      </c>
      <c r="G39" s="110" t="s">
        <v>45</v>
      </c>
      <c r="H39" s="110">
        <v>6</v>
      </c>
      <c r="I39" s="256">
        <v>14800</v>
      </c>
      <c r="J39" s="256">
        <f t="shared" si="0"/>
        <v>88800</v>
      </c>
      <c r="K39" s="110">
        <v>6</v>
      </c>
      <c r="L39" s="110">
        <f t="shared" si="1"/>
        <v>0</v>
      </c>
      <c r="M39" s="256">
        <v>88800</v>
      </c>
      <c r="N39" s="256">
        <f t="shared" si="2"/>
        <v>0</v>
      </c>
      <c r="O39" s="256">
        <f t="shared" si="3"/>
        <v>0</v>
      </c>
      <c r="P39" s="256">
        <v>14800</v>
      </c>
      <c r="Q39" s="256">
        <v>14350</v>
      </c>
      <c r="R39" s="256">
        <f t="shared" si="4"/>
        <v>88800</v>
      </c>
      <c r="S39" s="176" t="s">
        <v>46</v>
      </c>
      <c r="T39" s="199"/>
      <c r="U39" s="199"/>
      <c r="V39" s="199"/>
      <c r="W39" s="199"/>
    </row>
    <row r="40" s="110" customFormat="1" ht="13" customHeight="1" spans="1:23">
      <c r="A40" s="110" t="s">
        <v>25</v>
      </c>
      <c r="B40" s="176" t="s">
        <v>32</v>
      </c>
      <c r="C40" s="176" t="s">
        <v>27</v>
      </c>
      <c r="D40" s="110" t="s">
        <v>43</v>
      </c>
      <c r="E40" s="143" t="s">
        <v>106</v>
      </c>
      <c r="F40" s="112">
        <v>46254</v>
      </c>
      <c r="G40" s="110" t="s">
        <v>47</v>
      </c>
      <c r="H40" s="110">
        <v>4.5</v>
      </c>
      <c r="I40" s="256">
        <v>14800</v>
      </c>
      <c r="J40" s="256">
        <f t="shared" si="0"/>
        <v>66600</v>
      </c>
      <c r="K40" s="110">
        <v>4.5</v>
      </c>
      <c r="L40" s="110">
        <f t="shared" si="1"/>
        <v>0</v>
      </c>
      <c r="M40" s="256">
        <v>66600</v>
      </c>
      <c r="N40" s="256">
        <f t="shared" si="2"/>
        <v>0</v>
      </c>
      <c r="O40" s="256">
        <f t="shared" si="3"/>
        <v>0</v>
      </c>
      <c r="P40" s="256">
        <v>14800</v>
      </c>
      <c r="Q40" s="256">
        <v>14350</v>
      </c>
      <c r="R40" s="256">
        <f t="shared" si="4"/>
        <v>66600</v>
      </c>
      <c r="S40" s="176" t="s">
        <v>46</v>
      </c>
      <c r="T40" s="199"/>
      <c r="U40" s="199"/>
      <c r="V40" s="199"/>
      <c r="W40" s="199"/>
    </row>
    <row r="41" s="110" customFormat="1" ht="13" customHeight="1" spans="1:23">
      <c r="A41" s="110" t="s">
        <v>37</v>
      </c>
      <c r="B41" s="176" t="s">
        <v>38</v>
      </c>
      <c r="C41" s="176" t="s">
        <v>27</v>
      </c>
      <c r="D41" s="110" t="s">
        <v>61</v>
      </c>
      <c r="E41" s="143" t="s">
        <v>107</v>
      </c>
      <c r="F41" s="112">
        <v>46246</v>
      </c>
      <c r="G41" s="110" t="s">
        <v>30</v>
      </c>
      <c r="H41" s="110">
        <v>8.5</v>
      </c>
      <c r="I41" s="256">
        <v>12400</v>
      </c>
      <c r="J41" s="256">
        <f t="shared" si="0"/>
        <v>105400</v>
      </c>
      <c r="K41" s="110">
        <v>8.5</v>
      </c>
      <c r="L41" s="110">
        <f t="shared" si="1"/>
        <v>0</v>
      </c>
      <c r="M41" s="256">
        <f>高科收款!D112</f>
        <v>105400</v>
      </c>
      <c r="N41" s="256">
        <f t="shared" si="2"/>
        <v>0</v>
      </c>
      <c r="O41" s="256">
        <f t="shared" si="3"/>
        <v>0</v>
      </c>
      <c r="P41" s="256">
        <v>12400</v>
      </c>
      <c r="Q41" s="256">
        <v>12300</v>
      </c>
      <c r="R41" s="256">
        <f t="shared" si="4"/>
        <v>105400</v>
      </c>
      <c r="S41" s="176" t="s">
        <v>82</v>
      </c>
      <c r="T41" s="199"/>
      <c r="U41" s="199"/>
      <c r="V41" s="199"/>
      <c r="W41" s="199"/>
    </row>
    <row r="42" s="110" customFormat="1" ht="13" customHeight="1" spans="1:23">
      <c r="A42" s="110" t="s">
        <v>25</v>
      </c>
      <c r="B42" s="176" t="s">
        <v>32</v>
      </c>
      <c r="C42" s="176" t="s">
        <v>27</v>
      </c>
      <c r="D42" s="66" t="s">
        <v>33</v>
      </c>
      <c r="E42" s="143" t="s">
        <v>108</v>
      </c>
      <c r="F42" s="112">
        <v>46295</v>
      </c>
      <c r="G42" s="110" t="s">
        <v>35</v>
      </c>
      <c r="H42" s="110">
        <v>81.6</v>
      </c>
      <c r="I42" s="256">
        <v>14350</v>
      </c>
      <c r="J42" s="256">
        <f t="shared" si="0"/>
        <v>1170960</v>
      </c>
      <c r="K42" s="110">
        <v>81.6</v>
      </c>
      <c r="L42" s="110">
        <f t="shared" si="1"/>
        <v>0</v>
      </c>
      <c r="M42" s="256">
        <f>1412880-241920</f>
        <v>1170960</v>
      </c>
      <c r="N42" s="256">
        <f t="shared" si="2"/>
        <v>0</v>
      </c>
      <c r="O42" s="256">
        <f t="shared" si="3"/>
        <v>0</v>
      </c>
      <c r="P42" s="256">
        <v>14110</v>
      </c>
      <c r="Q42" s="256">
        <v>14100</v>
      </c>
      <c r="R42" s="256">
        <f t="shared" si="4"/>
        <v>1151376</v>
      </c>
      <c r="S42" s="176" t="s">
        <v>109</v>
      </c>
      <c r="T42" s="199">
        <v>160</v>
      </c>
      <c r="U42" s="199">
        <v>10</v>
      </c>
      <c r="V42" s="199">
        <v>5</v>
      </c>
      <c r="W42" s="199">
        <v>640</v>
      </c>
    </row>
    <row r="43" s="110" customFormat="1" ht="13" customHeight="1" spans="1:24">
      <c r="A43" s="110" t="s">
        <v>25</v>
      </c>
      <c r="B43" s="176" t="s">
        <v>32</v>
      </c>
      <c r="C43" s="176" t="s">
        <v>27</v>
      </c>
      <c r="D43" s="66" t="s">
        <v>33</v>
      </c>
      <c r="E43" s="143" t="s">
        <v>108</v>
      </c>
      <c r="F43" s="112">
        <v>46295</v>
      </c>
      <c r="G43" s="110" t="s">
        <v>41</v>
      </c>
      <c r="H43" s="110">
        <v>19.2</v>
      </c>
      <c r="I43" s="256">
        <v>12600</v>
      </c>
      <c r="J43" s="256">
        <f t="shared" si="0"/>
        <v>241920</v>
      </c>
      <c r="K43" s="110">
        <v>19.2</v>
      </c>
      <c r="L43" s="110">
        <f t="shared" si="1"/>
        <v>0</v>
      </c>
      <c r="M43" s="256">
        <v>241920</v>
      </c>
      <c r="N43" s="256">
        <f t="shared" si="2"/>
        <v>0</v>
      </c>
      <c r="O43" s="256">
        <f t="shared" si="3"/>
        <v>0</v>
      </c>
      <c r="P43" s="256">
        <v>12355</v>
      </c>
      <c r="Q43" s="256">
        <v>12300</v>
      </c>
      <c r="R43" s="256">
        <f t="shared" si="4"/>
        <v>237216</v>
      </c>
      <c r="S43" s="176" t="s">
        <v>110</v>
      </c>
      <c r="T43" s="199">
        <v>16</v>
      </c>
      <c r="U43" s="199"/>
      <c r="V43" s="199">
        <v>1</v>
      </c>
      <c r="W43" s="199">
        <v>64</v>
      </c>
      <c r="X43" s="110">
        <v>32</v>
      </c>
    </row>
    <row r="44" s="110" customFormat="1" ht="13" customHeight="1" spans="1:23">
      <c r="A44" s="110" t="s">
        <v>37</v>
      </c>
      <c r="B44" s="176" t="s">
        <v>32</v>
      </c>
      <c r="C44" s="176" t="s">
        <v>27</v>
      </c>
      <c r="D44" s="110" t="s">
        <v>28</v>
      </c>
      <c r="E44" s="143" t="s">
        <v>111</v>
      </c>
      <c r="F44" s="112">
        <v>46295</v>
      </c>
      <c r="G44" s="110" t="s">
        <v>41</v>
      </c>
      <c r="H44" s="110">
        <v>230.4</v>
      </c>
      <c r="I44" s="256">
        <v>13150</v>
      </c>
      <c r="J44" s="256">
        <f t="shared" si="0"/>
        <v>3029760</v>
      </c>
      <c r="K44" s="110">
        <v>230.4</v>
      </c>
      <c r="L44" s="110">
        <f t="shared" si="1"/>
        <v>0</v>
      </c>
      <c r="M44" s="256">
        <f>高科收款!D115</f>
        <v>3029760</v>
      </c>
      <c r="N44" s="256">
        <f t="shared" si="2"/>
        <v>0</v>
      </c>
      <c r="O44" s="256">
        <f t="shared" si="3"/>
        <v>0</v>
      </c>
      <c r="P44" s="256">
        <v>12905</v>
      </c>
      <c r="Q44" s="256">
        <v>12800</v>
      </c>
      <c r="R44" s="256">
        <f t="shared" si="4"/>
        <v>2973312</v>
      </c>
      <c r="S44" s="176" t="s">
        <v>112</v>
      </c>
      <c r="T44" s="199">
        <f>16*12</f>
        <v>192</v>
      </c>
      <c r="U44" s="199"/>
      <c r="V44" s="199">
        <f>1*12</f>
        <v>12</v>
      </c>
      <c r="W44" s="199">
        <f>128*12</f>
        <v>1536</v>
      </c>
    </row>
    <row r="45" s="110" customFormat="1" ht="13" customHeight="1" spans="1:23">
      <c r="A45" s="110" t="s">
        <v>25</v>
      </c>
      <c r="B45" s="176" t="s">
        <v>32</v>
      </c>
      <c r="C45" s="176" t="s">
        <v>27</v>
      </c>
      <c r="D45" s="110" t="s">
        <v>96</v>
      </c>
      <c r="E45" s="143" t="s">
        <v>113</v>
      </c>
      <c r="F45" s="112">
        <v>46285</v>
      </c>
      <c r="G45" s="110" t="s">
        <v>41</v>
      </c>
      <c r="H45" s="110">
        <v>17.92</v>
      </c>
      <c r="I45" s="256">
        <v>13500</v>
      </c>
      <c r="J45" s="256">
        <f t="shared" si="0"/>
        <v>241920</v>
      </c>
      <c r="K45" s="110">
        <v>17.92</v>
      </c>
      <c r="L45" s="110">
        <f t="shared" si="1"/>
        <v>0</v>
      </c>
      <c r="M45" s="256">
        <v>241920</v>
      </c>
      <c r="N45" s="256">
        <f t="shared" si="2"/>
        <v>0</v>
      </c>
      <c r="O45" s="256">
        <f t="shared" si="3"/>
        <v>0</v>
      </c>
      <c r="P45" s="256">
        <v>13260</v>
      </c>
      <c r="Q45" s="256">
        <v>13200</v>
      </c>
      <c r="R45" s="256">
        <f t="shared" si="4"/>
        <v>237619.2</v>
      </c>
      <c r="S45" s="176" t="s">
        <v>68</v>
      </c>
      <c r="T45" s="199">
        <v>32</v>
      </c>
      <c r="U45" s="199">
        <v>2</v>
      </c>
      <c r="V45" s="199">
        <v>1</v>
      </c>
      <c r="W45" s="199">
        <v>64</v>
      </c>
    </row>
    <row r="46" s="110" customFormat="1" ht="13" customHeight="1" spans="1:23">
      <c r="A46" s="110" t="s">
        <v>25</v>
      </c>
      <c r="B46" s="176" t="s">
        <v>32</v>
      </c>
      <c r="C46" s="176" t="s">
        <v>27</v>
      </c>
      <c r="D46" s="110" t="s">
        <v>96</v>
      </c>
      <c r="E46" s="143" t="s">
        <v>113</v>
      </c>
      <c r="F46" s="112">
        <v>46285</v>
      </c>
      <c r="G46" s="110" t="s">
        <v>35</v>
      </c>
      <c r="H46" s="110">
        <v>5.01</v>
      </c>
      <c r="I46" s="256">
        <v>15200</v>
      </c>
      <c r="J46" s="256">
        <f t="shared" si="0"/>
        <v>76152</v>
      </c>
      <c r="K46" s="110">
        <v>5.01</v>
      </c>
      <c r="L46" s="110">
        <f t="shared" si="1"/>
        <v>0</v>
      </c>
      <c r="M46" s="256">
        <v>76152</v>
      </c>
      <c r="N46" s="256">
        <f t="shared" si="2"/>
        <v>0</v>
      </c>
      <c r="O46" s="256">
        <f t="shared" si="3"/>
        <v>0</v>
      </c>
      <c r="P46" s="256">
        <v>15200</v>
      </c>
      <c r="Q46" s="256">
        <v>15200</v>
      </c>
      <c r="R46" s="256">
        <f t="shared" si="4"/>
        <v>76152</v>
      </c>
      <c r="S46" s="176" t="s">
        <v>46</v>
      </c>
      <c r="T46" s="199"/>
      <c r="U46" s="199"/>
      <c r="V46" s="199"/>
      <c r="W46" s="199"/>
    </row>
    <row r="47" s="110" customFormat="1" ht="13" customHeight="1" spans="1:23">
      <c r="A47" s="110" t="s">
        <v>25</v>
      </c>
      <c r="B47" s="176" t="s">
        <v>32</v>
      </c>
      <c r="C47" s="176" t="s">
        <v>27</v>
      </c>
      <c r="D47" s="110" t="s">
        <v>43</v>
      </c>
      <c r="E47" s="143" t="s">
        <v>114</v>
      </c>
      <c r="F47" s="112">
        <v>46275</v>
      </c>
      <c r="G47" s="110" t="s">
        <v>47</v>
      </c>
      <c r="H47" s="110">
        <v>6</v>
      </c>
      <c r="I47" s="256">
        <v>16500</v>
      </c>
      <c r="J47" s="256">
        <f t="shared" si="0"/>
        <v>99000</v>
      </c>
      <c r="K47" s="110">
        <v>6</v>
      </c>
      <c r="L47" s="110">
        <f t="shared" si="1"/>
        <v>0</v>
      </c>
      <c r="M47" s="256">
        <v>99000</v>
      </c>
      <c r="N47" s="256">
        <f t="shared" si="2"/>
        <v>0</v>
      </c>
      <c r="O47" s="256">
        <f t="shared" si="3"/>
        <v>0</v>
      </c>
      <c r="P47" s="256">
        <v>16500</v>
      </c>
      <c r="Q47" s="256">
        <v>15550</v>
      </c>
      <c r="R47" s="256">
        <f t="shared" si="4"/>
        <v>99000</v>
      </c>
      <c r="S47" s="176" t="s">
        <v>46</v>
      </c>
      <c r="T47" s="199"/>
      <c r="U47" s="199"/>
      <c r="V47" s="199"/>
      <c r="W47" s="199"/>
    </row>
    <row r="48" s="110" customFormat="1" ht="13" customHeight="1" spans="1:23">
      <c r="A48" s="110" t="s">
        <v>25</v>
      </c>
      <c r="B48" s="176" t="s">
        <v>32</v>
      </c>
      <c r="C48" s="176" t="s">
        <v>27</v>
      </c>
      <c r="D48" s="110" t="s">
        <v>43</v>
      </c>
      <c r="E48" s="143" t="s">
        <v>114</v>
      </c>
      <c r="F48" s="112">
        <v>46275</v>
      </c>
      <c r="G48" s="110" t="s">
        <v>45</v>
      </c>
      <c r="H48" s="110">
        <v>3</v>
      </c>
      <c r="I48" s="256">
        <v>16500</v>
      </c>
      <c r="J48" s="256">
        <f t="shared" si="0"/>
        <v>49500</v>
      </c>
      <c r="K48" s="110">
        <v>3</v>
      </c>
      <c r="L48" s="110">
        <f t="shared" si="1"/>
        <v>0</v>
      </c>
      <c r="M48" s="256">
        <v>49500</v>
      </c>
      <c r="N48" s="256">
        <f t="shared" si="2"/>
        <v>0</v>
      </c>
      <c r="O48" s="256">
        <f t="shared" si="3"/>
        <v>0</v>
      </c>
      <c r="P48" s="256">
        <v>16500</v>
      </c>
      <c r="Q48" s="256">
        <v>15550</v>
      </c>
      <c r="R48" s="256">
        <f t="shared" si="4"/>
        <v>49500</v>
      </c>
      <c r="S48" s="176" t="s">
        <v>46</v>
      </c>
      <c r="T48" s="199"/>
      <c r="U48" s="199"/>
      <c r="V48" s="199"/>
      <c r="W48" s="199"/>
    </row>
    <row r="49" s="110" customFormat="1" ht="13" customHeight="1" spans="1:23">
      <c r="A49" s="110" t="s">
        <v>25</v>
      </c>
      <c r="B49" s="176" t="s">
        <v>32</v>
      </c>
      <c r="C49" s="176" t="s">
        <v>27</v>
      </c>
      <c r="D49" s="110" t="s">
        <v>96</v>
      </c>
      <c r="E49" s="143" t="s">
        <v>115</v>
      </c>
      <c r="F49" s="112">
        <v>46295</v>
      </c>
      <c r="G49" s="110" t="s">
        <v>41</v>
      </c>
      <c r="H49" s="110">
        <v>250</v>
      </c>
      <c r="I49" s="256">
        <v>14000</v>
      </c>
      <c r="J49" s="256">
        <f t="shared" si="0"/>
        <v>3500000</v>
      </c>
      <c r="K49" s="110">
        <f>64+64+122</f>
        <v>250</v>
      </c>
      <c r="L49" s="110">
        <f t="shared" si="1"/>
        <v>0</v>
      </c>
      <c r="M49" s="256">
        <f>高科收款!D122+高科收款!D125</f>
        <v>3500000</v>
      </c>
      <c r="N49" s="256">
        <f t="shared" si="2"/>
        <v>0</v>
      </c>
      <c r="O49" s="256">
        <f t="shared" si="3"/>
        <v>0</v>
      </c>
      <c r="P49" s="256">
        <v>14000</v>
      </c>
      <c r="Q49" s="256"/>
      <c r="R49" s="256">
        <f t="shared" si="4"/>
        <v>3500000</v>
      </c>
      <c r="S49" s="176"/>
      <c r="T49" s="199"/>
      <c r="U49" s="199"/>
      <c r="V49" s="199"/>
      <c r="W49" s="199"/>
    </row>
    <row r="50" s="110" customFormat="1" ht="13" customHeight="1" spans="1:23">
      <c r="A50" s="110" t="s">
        <v>25</v>
      </c>
      <c r="B50" s="176" t="s">
        <v>32</v>
      </c>
      <c r="C50" s="176" t="s">
        <v>27</v>
      </c>
      <c r="D50" s="110" t="s">
        <v>33</v>
      </c>
      <c r="E50" s="143" t="s">
        <v>116</v>
      </c>
      <c r="F50" s="112">
        <v>46295</v>
      </c>
      <c r="G50" s="110" t="s">
        <v>35</v>
      </c>
      <c r="H50" s="110">
        <v>65.28</v>
      </c>
      <c r="I50" s="256">
        <v>16540</v>
      </c>
      <c r="J50" s="256">
        <f t="shared" si="0"/>
        <v>1079731.2</v>
      </c>
      <c r="K50" s="110">
        <v>0</v>
      </c>
      <c r="L50" s="110">
        <f t="shared" si="1"/>
        <v>65.28</v>
      </c>
      <c r="M50" s="256">
        <f>高科收款!D127-420268.8</f>
        <v>1079731.2</v>
      </c>
      <c r="N50" s="256">
        <f t="shared" si="2"/>
        <v>0</v>
      </c>
      <c r="O50" s="256">
        <f t="shared" si="3"/>
        <v>-1079731.2</v>
      </c>
      <c r="P50" s="256">
        <v>16300</v>
      </c>
      <c r="Q50" s="256"/>
      <c r="R50" s="256">
        <f t="shared" si="4"/>
        <v>1064064</v>
      </c>
      <c r="S50" s="176" t="s">
        <v>109</v>
      </c>
      <c r="T50" s="199"/>
      <c r="U50" s="199"/>
      <c r="V50" s="199"/>
      <c r="W50" s="199"/>
    </row>
    <row r="51" s="110" customFormat="1" ht="13" customHeight="1" spans="1:23">
      <c r="A51" s="110" t="s">
        <v>25</v>
      </c>
      <c r="B51" s="176" t="s">
        <v>32</v>
      </c>
      <c r="C51" s="176" t="s">
        <v>27</v>
      </c>
      <c r="D51" s="110" t="s">
        <v>33</v>
      </c>
      <c r="E51" s="143" t="s">
        <v>116</v>
      </c>
      <c r="F51" s="112">
        <v>46295</v>
      </c>
      <c r="G51" s="110" t="s">
        <v>41</v>
      </c>
      <c r="H51" s="110">
        <v>249.6</v>
      </c>
      <c r="I51" s="256">
        <v>14310</v>
      </c>
      <c r="J51" s="256">
        <f t="shared" si="0"/>
        <v>3571776</v>
      </c>
      <c r="K51" s="110">
        <v>204.8</v>
      </c>
      <c r="L51" s="110">
        <f t="shared" si="1"/>
        <v>44.8</v>
      </c>
      <c r="M51" s="256">
        <f>420268.8+高科收款!D145</f>
        <v>2420268.8</v>
      </c>
      <c r="N51" s="256">
        <f t="shared" si="2"/>
        <v>1151507.2</v>
      </c>
      <c r="O51" s="256">
        <f t="shared" si="3"/>
        <v>510419.2</v>
      </c>
      <c r="P51" s="256">
        <v>14100</v>
      </c>
      <c r="Q51" s="256"/>
      <c r="R51" s="256">
        <f t="shared" si="4"/>
        <v>3519360</v>
      </c>
      <c r="S51" s="176" t="s">
        <v>117</v>
      </c>
      <c r="T51" s="199"/>
      <c r="U51" s="199"/>
      <c r="V51" s="199"/>
      <c r="W51" s="199"/>
    </row>
    <row r="52" s="110" customFormat="1" ht="13" customHeight="1" spans="1:24">
      <c r="A52" s="110" t="s">
        <v>37</v>
      </c>
      <c r="B52" s="176" t="s">
        <v>38</v>
      </c>
      <c r="C52" s="176" t="s">
        <v>27</v>
      </c>
      <c r="D52" s="110" t="s">
        <v>28</v>
      </c>
      <c r="E52" s="143" t="s">
        <v>118</v>
      </c>
      <c r="F52" s="112">
        <v>46305</v>
      </c>
      <c r="G52" s="110" t="s">
        <v>41</v>
      </c>
      <c r="H52" s="110">
        <v>153.6</v>
      </c>
      <c r="I52" s="256">
        <v>14250</v>
      </c>
      <c r="J52" s="256">
        <f t="shared" si="0"/>
        <v>2188800</v>
      </c>
      <c r="K52" s="110">
        <v>153.6</v>
      </c>
      <c r="L52" s="110">
        <f t="shared" si="1"/>
        <v>0</v>
      </c>
      <c r="M52" s="256">
        <f>高科收款!D135</f>
        <v>2188800</v>
      </c>
      <c r="N52" s="256">
        <f t="shared" si="2"/>
        <v>0</v>
      </c>
      <c r="O52" s="256">
        <f t="shared" si="3"/>
        <v>0</v>
      </c>
      <c r="P52" s="256">
        <v>14005</v>
      </c>
      <c r="Q52" s="256"/>
      <c r="R52" s="256">
        <f t="shared" si="4"/>
        <v>2151168</v>
      </c>
      <c r="S52" s="176"/>
      <c r="T52" s="199">
        <f>8*16</f>
        <v>128</v>
      </c>
      <c r="U52" s="199"/>
      <c r="V52" s="199">
        <f>8*1</f>
        <v>8</v>
      </c>
      <c r="W52" s="199">
        <f>8*128</f>
        <v>1024</v>
      </c>
      <c r="X52" s="110">
        <f>8*32</f>
        <v>256</v>
      </c>
    </row>
    <row r="53" s="110" customFormat="1" ht="13" customHeight="1" spans="1:23">
      <c r="A53" s="110" t="s">
        <v>25</v>
      </c>
      <c r="B53" s="176" t="s">
        <v>32</v>
      </c>
      <c r="C53" s="176" t="s">
        <v>27</v>
      </c>
      <c r="D53" s="110" t="s">
        <v>43</v>
      </c>
      <c r="E53" s="143" t="s">
        <v>119</v>
      </c>
      <c r="F53" s="112">
        <v>46285</v>
      </c>
      <c r="G53" s="110" t="s">
        <v>47</v>
      </c>
      <c r="H53" s="110">
        <v>6</v>
      </c>
      <c r="I53" s="256">
        <v>17300</v>
      </c>
      <c r="J53" s="256">
        <f t="shared" si="0"/>
        <v>103800</v>
      </c>
      <c r="K53" s="110">
        <v>6</v>
      </c>
      <c r="L53" s="110">
        <f t="shared" si="1"/>
        <v>0</v>
      </c>
      <c r="M53" s="256">
        <v>103800</v>
      </c>
      <c r="N53" s="256">
        <f t="shared" si="2"/>
        <v>0</v>
      </c>
      <c r="O53" s="256">
        <f t="shared" si="3"/>
        <v>0</v>
      </c>
      <c r="P53" s="256">
        <v>17300</v>
      </c>
      <c r="Q53" s="256"/>
      <c r="R53" s="256">
        <f t="shared" si="4"/>
        <v>103800</v>
      </c>
      <c r="S53" s="176" t="s">
        <v>46</v>
      </c>
      <c r="T53" s="199"/>
      <c r="U53" s="199"/>
      <c r="V53" s="199"/>
      <c r="W53" s="199"/>
    </row>
    <row r="54" s="110" customFormat="1" ht="13" customHeight="1" spans="1:23">
      <c r="A54" s="110" t="s">
        <v>25</v>
      </c>
      <c r="B54" s="176" t="s">
        <v>32</v>
      </c>
      <c r="C54" s="176" t="s">
        <v>27</v>
      </c>
      <c r="D54" s="110" t="s">
        <v>43</v>
      </c>
      <c r="E54" s="143" t="s">
        <v>119</v>
      </c>
      <c r="F54" s="112">
        <v>46285</v>
      </c>
      <c r="G54" s="110" t="s">
        <v>45</v>
      </c>
      <c r="H54" s="110">
        <v>4.5</v>
      </c>
      <c r="I54" s="256">
        <v>17300</v>
      </c>
      <c r="J54" s="256">
        <f t="shared" si="0"/>
        <v>77850</v>
      </c>
      <c r="K54" s="110">
        <v>4.5</v>
      </c>
      <c r="L54" s="110">
        <f t="shared" si="1"/>
        <v>0</v>
      </c>
      <c r="M54" s="256">
        <v>77850</v>
      </c>
      <c r="N54" s="256">
        <f t="shared" si="2"/>
        <v>0</v>
      </c>
      <c r="O54" s="256">
        <f t="shared" si="3"/>
        <v>0</v>
      </c>
      <c r="P54" s="256">
        <v>17300</v>
      </c>
      <c r="Q54" s="256"/>
      <c r="R54" s="256">
        <f t="shared" si="4"/>
        <v>77850</v>
      </c>
      <c r="S54" s="176" t="s">
        <v>46</v>
      </c>
      <c r="T54" s="199"/>
      <c r="U54" s="199"/>
      <c r="V54" s="199"/>
      <c r="W54" s="199"/>
    </row>
    <row r="55" s="110" customFormat="1" ht="13" customHeight="1" spans="1:23">
      <c r="A55" s="110" t="s">
        <v>25</v>
      </c>
      <c r="B55" s="176" t="s">
        <v>32</v>
      </c>
      <c r="C55" s="176" t="s">
        <v>27</v>
      </c>
      <c r="D55" s="110" t="s">
        <v>96</v>
      </c>
      <c r="E55" s="143" t="s">
        <v>120</v>
      </c>
      <c r="F55" s="112">
        <v>46295</v>
      </c>
      <c r="G55" s="110" t="s">
        <v>121</v>
      </c>
      <c r="H55" s="110">
        <v>12</v>
      </c>
      <c r="I55" s="256">
        <v>14600</v>
      </c>
      <c r="J55" s="256">
        <f t="shared" si="0"/>
        <v>175200</v>
      </c>
      <c r="K55" s="110">
        <v>12</v>
      </c>
      <c r="L55" s="110">
        <f t="shared" si="1"/>
        <v>0</v>
      </c>
      <c r="M55" s="256">
        <f>高科收款!D140</f>
        <v>175200</v>
      </c>
      <c r="N55" s="256">
        <f t="shared" si="2"/>
        <v>0</v>
      </c>
      <c r="O55" s="256">
        <f t="shared" si="3"/>
        <v>0</v>
      </c>
      <c r="P55" s="256">
        <v>14600</v>
      </c>
      <c r="Q55" s="256"/>
      <c r="R55" s="256">
        <f t="shared" si="4"/>
        <v>175200</v>
      </c>
      <c r="S55" s="176" t="s">
        <v>46</v>
      </c>
      <c r="T55" s="199"/>
      <c r="U55" s="199"/>
      <c r="V55" s="199"/>
      <c r="W55" s="199"/>
    </row>
    <row r="56" s="110" customFormat="1" ht="13" customHeight="1" spans="1:23">
      <c r="A56" s="110" t="s">
        <v>25</v>
      </c>
      <c r="B56" s="176" t="s">
        <v>32</v>
      </c>
      <c r="C56" s="176" t="s">
        <v>27</v>
      </c>
      <c r="D56" s="110" t="s">
        <v>43</v>
      </c>
      <c r="E56" s="143" t="s">
        <v>122</v>
      </c>
      <c r="F56" s="112">
        <v>46285</v>
      </c>
      <c r="G56" s="110" t="s">
        <v>47</v>
      </c>
      <c r="H56" s="110">
        <v>6</v>
      </c>
      <c r="I56" s="256">
        <v>17300</v>
      </c>
      <c r="J56" s="256">
        <f t="shared" si="0"/>
        <v>103800</v>
      </c>
      <c r="K56" s="110">
        <v>6</v>
      </c>
      <c r="L56" s="110">
        <f t="shared" si="1"/>
        <v>0</v>
      </c>
      <c r="M56" s="256">
        <f>高科收款!D129</f>
        <v>103800</v>
      </c>
      <c r="N56" s="256">
        <f t="shared" si="2"/>
        <v>0</v>
      </c>
      <c r="O56" s="256">
        <f t="shared" si="3"/>
        <v>0</v>
      </c>
      <c r="P56" s="256">
        <v>17300</v>
      </c>
      <c r="Q56" s="256"/>
      <c r="R56" s="256">
        <f t="shared" si="4"/>
        <v>103800</v>
      </c>
      <c r="S56" s="176" t="s">
        <v>46</v>
      </c>
      <c r="T56" s="199"/>
      <c r="U56" s="199"/>
      <c r="V56" s="199"/>
      <c r="W56" s="199"/>
    </row>
    <row r="57" s="110" customFormat="1" ht="13" customHeight="1" spans="1:23">
      <c r="A57" s="110" t="s">
        <v>25</v>
      </c>
      <c r="B57" s="176" t="s">
        <v>32</v>
      </c>
      <c r="C57" s="176" t="s">
        <v>27</v>
      </c>
      <c r="D57" s="110" t="s">
        <v>43</v>
      </c>
      <c r="E57" s="143" t="s">
        <v>123</v>
      </c>
      <c r="F57" s="112">
        <v>46295</v>
      </c>
      <c r="G57" s="110" t="s">
        <v>47</v>
      </c>
      <c r="H57" s="110">
        <v>6</v>
      </c>
      <c r="I57" s="256">
        <v>17300</v>
      </c>
      <c r="J57" s="256">
        <f t="shared" si="0"/>
        <v>103800</v>
      </c>
      <c r="K57" s="110">
        <v>6</v>
      </c>
      <c r="L57" s="110">
        <f t="shared" si="1"/>
        <v>0</v>
      </c>
      <c r="M57" s="256">
        <f>高科收款!D134</f>
        <v>103800</v>
      </c>
      <c r="N57" s="256">
        <f t="shared" si="2"/>
        <v>0</v>
      </c>
      <c r="O57" s="256">
        <f t="shared" si="3"/>
        <v>0</v>
      </c>
      <c r="P57" s="256">
        <v>17300</v>
      </c>
      <c r="Q57" s="256"/>
      <c r="R57" s="256">
        <f t="shared" si="4"/>
        <v>103800</v>
      </c>
      <c r="S57" s="176" t="s">
        <v>46</v>
      </c>
      <c r="T57" s="199"/>
      <c r="U57" s="199"/>
      <c r="V57" s="199"/>
      <c r="W57" s="199"/>
    </row>
    <row r="58" s="110" customFormat="1" ht="13" customHeight="1" spans="1:23">
      <c r="A58" s="110" t="s">
        <v>25</v>
      </c>
      <c r="B58" s="176" t="s">
        <v>32</v>
      </c>
      <c r="C58" s="176" t="s">
        <v>39</v>
      </c>
      <c r="D58" s="110" t="s">
        <v>48</v>
      </c>
      <c r="E58" s="143" t="s">
        <v>124</v>
      </c>
      <c r="F58" s="112">
        <v>46295</v>
      </c>
      <c r="G58" s="110" t="s">
        <v>35</v>
      </c>
      <c r="H58" s="110">
        <v>4.05</v>
      </c>
      <c r="I58" s="256">
        <v>17500</v>
      </c>
      <c r="J58" s="256">
        <f t="shared" si="0"/>
        <v>70875</v>
      </c>
      <c r="K58" s="110">
        <v>4.05</v>
      </c>
      <c r="L58" s="110">
        <f t="shared" si="1"/>
        <v>0</v>
      </c>
      <c r="M58" s="256">
        <f>高科收款!D136</f>
        <v>70875</v>
      </c>
      <c r="N58" s="256">
        <f t="shared" si="2"/>
        <v>0</v>
      </c>
      <c r="O58" s="256">
        <f t="shared" si="3"/>
        <v>0</v>
      </c>
      <c r="P58" s="256">
        <v>17100</v>
      </c>
      <c r="Q58" s="256">
        <v>16800</v>
      </c>
      <c r="R58" s="256">
        <f t="shared" si="4"/>
        <v>69255</v>
      </c>
      <c r="S58" s="176" t="s">
        <v>46</v>
      </c>
      <c r="T58" s="199"/>
      <c r="U58" s="199"/>
      <c r="V58" s="199"/>
      <c r="W58" s="199"/>
    </row>
    <row r="59" s="110" customFormat="1" ht="13" customHeight="1" spans="1:23">
      <c r="A59" s="110" t="s">
        <v>25</v>
      </c>
      <c r="B59" s="176" t="s">
        <v>32</v>
      </c>
      <c r="C59" s="176" t="s">
        <v>27</v>
      </c>
      <c r="D59" s="110" t="s">
        <v>43</v>
      </c>
      <c r="E59" s="143" t="s">
        <v>125</v>
      </c>
      <c r="F59" s="112">
        <v>46305</v>
      </c>
      <c r="G59" s="110" t="s">
        <v>47</v>
      </c>
      <c r="H59" s="110">
        <v>6</v>
      </c>
      <c r="I59" s="256">
        <v>17300</v>
      </c>
      <c r="J59" s="256">
        <f t="shared" si="0"/>
        <v>103800</v>
      </c>
      <c r="K59" s="110">
        <v>6</v>
      </c>
      <c r="L59" s="110">
        <f t="shared" si="1"/>
        <v>0</v>
      </c>
      <c r="M59" s="256">
        <v>103800</v>
      </c>
      <c r="N59" s="256">
        <f t="shared" si="2"/>
        <v>0</v>
      </c>
      <c r="O59" s="256">
        <f t="shared" si="3"/>
        <v>0</v>
      </c>
      <c r="P59" s="256">
        <v>17300</v>
      </c>
      <c r="Q59" s="256">
        <v>16650</v>
      </c>
      <c r="R59" s="256">
        <f t="shared" si="4"/>
        <v>103800</v>
      </c>
      <c r="S59" s="176" t="s">
        <v>46</v>
      </c>
      <c r="T59" s="199"/>
      <c r="U59" s="199"/>
      <c r="V59" s="199"/>
      <c r="W59" s="199"/>
    </row>
    <row r="60" s="110" customFormat="1" ht="13" customHeight="1" spans="1:23">
      <c r="A60" s="110" t="s">
        <v>25</v>
      </c>
      <c r="B60" s="176" t="s">
        <v>32</v>
      </c>
      <c r="C60" s="176" t="s">
        <v>27</v>
      </c>
      <c r="D60" s="110" t="s">
        <v>33</v>
      </c>
      <c r="E60" s="143" t="s">
        <v>126</v>
      </c>
      <c r="F60" s="112">
        <v>46310</v>
      </c>
      <c r="G60" s="110" t="s">
        <v>30</v>
      </c>
      <c r="H60" s="110">
        <v>19.2</v>
      </c>
      <c r="I60" s="256">
        <v>14050</v>
      </c>
      <c r="J60" s="256">
        <f t="shared" si="0"/>
        <v>269760</v>
      </c>
      <c r="K60" s="110">
        <v>0</v>
      </c>
      <c r="L60" s="110">
        <f t="shared" si="1"/>
        <v>19.2</v>
      </c>
      <c r="M60" s="256">
        <f>高科收款!D137</f>
        <v>269760</v>
      </c>
      <c r="N60" s="256">
        <f t="shared" si="2"/>
        <v>0</v>
      </c>
      <c r="O60" s="256">
        <f t="shared" si="3"/>
        <v>-269760</v>
      </c>
      <c r="P60" s="256">
        <v>13845</v>
      </c>
      <c r="Q60" s="256">
        <v>13800</v>
      </c>
      <c r="R60" s="256">
        <f t="shared" si="4"/>
        <v>265824</v>
      </c>
      <c r="S60" s="176" t="s">
        <v>127</v>
      </c>
      <c r="T60" s="199"/>
      <c r="U60" s="199"/>
      <c r="V60" s="199"/>
      <c r="W60" s="199"/>
    </row>
    <row r="61" s="110" customFormat="1" ht="13" customHeight="1" spans="1:23">
      <c r="A61" s="110" t="s">
        <v>25</v>
      </c>
      <c r="B61" s="176" t="s">
        <v>32</v>
      </c>
      <c r="C61" s="176" t="s">
        <v>27</v>
      </c>
      <c r="D61" s="110" t="s">
        <v>96</v>
      </c>
      <c r="E61" s="143" t="s">
        <v>128</v>
      </c>
      <c r="F61" s="112">
        <v>46305</v>
      </c>
      <c r="G61" s="110" t="s">
        <v>35</v>
      </c>
      <c r="H61" s="110">
        <v>15</v>
      </c>
      <c r="I61" s="256">
        <v>16800</v>
      </c>
      <c r="J61" s="256">
        <f t="shared" si="0"/>
        <v>252000</v>
      </c>
      <c r="K61" s="110">
        <v>15</v>
      </c>
      <c r="L61" s="110">
        <f t="shared" si="1"/>
        <v>0</v>
      </c>
      <c r="M61" s="256">
        <v>252000</v>
      </c>
      <c r="N61" s="256">
        <f t="shared" si="2"/>
        <v>0</v>
      </c>
      <c r="O61" s="256">
        <f t="shared" si="3"/>
        <v>0</v>
      </c>
      <c r="P61" s="256">
        <v>16800</v>
      </c>
      <c r="Q61" s="256"/>
      <c r="R61" s="256">
        <f t="shared" si="4"/>
        <v>252000</v>
      </c>
      <c r="S61" s="176" t="s">
        <v>129</v>
      </c>
      <c r="T61" s="199"/>
      <c r="U61" s="199"/>
      <c r="V61" s="199"/>
      <c r="W61" s="199"/>
    </row>
    <row r="62" s="110" customFormat="1" ht="13" customHeight="1" spans="1:23">
      <c r="A62" s="110" t="s">
        <v>25</v>
      </c>
      <c r="B62" s="176" t="s">
        <v>32</v>
      </c>
      <c r="C62" s="176" t="s">
        <v>27</v>
      </c>
      <c r="D62" s="110" t="s">
        <v>96</v>
      </c>
      <c r="E62" s="143" t="s">
        <v>128</v>
      </c>
      <c r="F62" s="112">
        <v>46305</v>
      </c>
      <c r="G62" s="110" t="s">
        <v>45</v>
      </c>
      <c r="H62" s="110">
        <v>3.75</v>
      </c>
      <c r="I62" s="256">
        <v>16950</v>
      </c>
      <c r="J62" s="256">
        <f t="shared" si="0"/>
        <v>63562.5</v>
      </c>
      <c r="K62" s="110">
        <v>3.75</v>
      </c>
      <c r="L62" s="110">
        <f t="shared" si="1"/>
        <v>0</v>
      </c>
      <c r="M62" s="256">
        <v>63562.5</v>
      </c>
      <c r="N62" s="256">
        <f t="shared" si="2"/>
        <v>0</v>
      </c>
      <c r="O62" s="256">
        <f t="shared" si="3"/>
        <v>0</v>
      </c>
      <c r="P62" s="256">
        <v>16950</v>
      </c>
      <c r="Q62" s="256"/>
      <c r="R62" s="256">
        <f t="shared" si="4"/>
        <v>63562.5</v>
      </c>
      <c r="S62" s="176" t="s">
        <v>129</v>
      </c>
      <c r="T62" s="199"/>
      <c r="U62" s="199"/>
      <c r="V62" s="199"/>
      <c r="W62" s="199"/>
    </row>
    <row r="63" s="110" customFormat="1" ht="13" customHeight="1" spans="1:23">
      <c r="A63" s="110" t="s">
        <v>25</v>
      </c>
      <c r="B63" s="176" t="s">
        <v>32</v>
      </c>
      <c r="C63" s="176" t="s">
        <v>27</v>
      </c>
      <c r="D63" s="110" t="s">
        <v>43</v>
      </c>
      <c r="E63" s="143" t="s">
        <v>130</v>
      </c>
      <c r="F63" s="112">
        <v>46310</v>
      </c>
      <c r="G63" s="110" t="s">
        <v>47</v>
      </c>
      <c r="H63" s="110">
        <v>4.5</v>
      </c>
      <c r="I63" s="256">
        <v>17600</v>
      </c>
      <c r="J63" s="256">
        <f t="shared" si="0"/>
        <v>79200</v>
      </c>
      <c r="K63" s="110">
        <v>4.5</v>
      </c>
      <c r="L63" s="110">
        <f t="shared" si="1"/>
        <v>0</v>
      </c>
      <c r="M63" s="256">
        <f>高科收款!D144</f>
        <v>79200</v>
      </c>
      <c r="N63" s="256">
        <f t="shared" si="2"/>
        <v>0</v>
      </c>
      <c r="O63" s="256">
        <f t="shared" si="3"/>
        <v>0</v>
      </c>
      <c r="P63" s="256">
        <v>17600</v>
      </c>
      <c r="Q63" s="256">
        <v>16950</v>
      </c>
      <c r="R63" s="256">
        <f t="shared" si="4"/>
        <v>79200</v>
      </c>
      <c r="S63" s="176" t="s">
        <v>129</v>
      </c>
      <c r="T63" s="199"/>
      <c r="U63" s="199"/>
      <c r="V63" s="199"/>
      <c r="W63" s="199"/>
    </row>
    <row r="64" s="110" customFormat="1" ht="13" customHeight="1" spans="1:23">
      <c r="A64" s="110" t="s">
        <v>25</v>
      </c>
      <c r="B64" s="176" t="s">
        <v>32</v>
      </c>
      <c r="C64" s="176" t="s">
        <v>27</v>
      </c>
      <c r="D64" s="110" t="s">
        <v>96</v>
      </c>
      <c r="E64" s="143" t="s">
        <v>131</v>
      </c>
      <c r="F64" s="112">
        <v>46326</v>
      </c>
      <c r="G64" s="110" t="s">
        <v>41</v>
      </c>
      <c r="H64" s="110">
        <v>50</v>
      </c>
      <c r="I64" s="256">
        <v>13800</v>
      </c>
      <c r="J64" s="256">
        <f t="shared" si="0"/>
        <v>690000</v>
      </c>
      <c r="K64" s="110">
        <v>0</v>
      </c>
      <c r="L64" s="110">
        <f t="shared" si="1"/>
        <v>50</v>
      </c>
      <c r="M64" s="256">
        <f>高科收款!D154</f>
        <v>300000</v>
      </c>
      <c r="N64" s="256">
        <f t="shared" si="2"/>
        <v>390000</v>
      </c>
      <c r="O64" s="256">
        <f t="shared" si="3"/>
        <v>-300000</v>
      </c>
      <c r="P64" s="256">
        <v>13800</v>
      </c>
      <c r="Q64" s="256">
        <v>13800</v>
      </c>
      <c r="R64" s="256">
        <f t="shared" si="4"/>
        <v>690000</v>
      </c>
      <c r="S64" s="176" t="s">
        <v>82</v>
      </c>
      <c r="T64" s="199"/>
      <c r="U64" s="199"/>
      <c r="V64" s="199"/>
      <c r="W64" s="199"/>
    </row>
    <row r="65" s="110" customFormat="1" ht="13" customHeight="1" spans="1:24">
      <c r="A65" s="110" t="s">
        <v>25</v>
      </c>
      <c r="B65" s="176" t="s">
        <v>32</v>
      </c>
      <c r="C65" s="176" t="s">
        <v>27</v>
      </c>
      <c r="D65" s="110" t="s">
        <v>96</v>
      </c>
      <c r="E65" s="143" t="s">
        <v>131</v>
      </c>
      <c r="F65" s="112">
        <v>46326</v>
      </c>
      <c r="G65" s="110" t="s">
        <v>41</v>
      </c>
      <c r="H65" s="110">
        <v>76.8</v>
      </c>
      <c r="I65" s="256">
        <v>14100</v>
      </c>
      <c r="J65" s="256">
        <f t="shared" si="0"/>
        <v>1082880</v>
      </c>
      <c r="K65" s="110">
        <v>0</v>
      </c>
      <c r="L65" s="110">
        <f t="shared" si="1"/>
        <v>76.8</v>
      </c>
      <c r="M65" s="256">
        <v>0</v>
      </c>
      <c r="N65" s="256">
        <f t="shared" si="2"/>
        <v>1082880</v>
      </c>
      <c r="O65" s="256">
        <f t="shared" si="3"/>
        <v>0</v>
      </c>
      <c r="P65" s="256">
        <v>13840</v>
      </c>
      <c r="Q65" s="256">
        <v>13800</v>
      </c>
      <c r="R65" s="256">
        <f t="shared" si="4"/>
        <v>1062912</v>
      </c>
      <c r="S65" s="176" t="s">
        <v>23</v>
      </c>
      <c r="T65" s="199">
        <v>64</v>
      </c>
      <c r="U65" s="199">
        <v>1</v>
      </c>
      <c r="V65" s="199">
        <v>4</v>
      </c>
      <c r="W65" s="199">
        <v>256</v>
      </c>
      <c r="X65" s="110">
        <v>128</v>
      </c>
    </row>
    <row r="66" s="110" customFormat="1" ht="13" customHeight="1" spans="1:23">
      <c r="A66" s="110" t="s">
        <v>25</v>
      </c>
      <c r="B66" s="176" t="s">
        <v>32</v>
      </c>
      <c r="C66" s="176" t="s">
        <v>27</v>
      </c>
      <c r="D66" s="110" t="s">
        <v>33</v>
      </c>
      <c r="E66" s="143" t="s">
        <v>132</v>
      </c>
      <c r="F66" s="112">
        <v>46325</v>
      </c>
      <c r="G66" s="110" t="s">
        <v>30</v>
      </c>
      <c r="H66" s="110">
        <v>16.2</v>
      </c>
      <c r="I66" s="256">
        <v>14100</v>
      </c>
      <c r="J66" s="256">
        <f t="shared" ref="J66:J73" si="5">H66*I66</f>
        <v>228420</v>
      </c>
      <c r="K66" s="110">
        <v>0</v>
      </c>
      <c r="L66" s="110">
        <f t="shared" ref="L66:L73" si="6">H66-K66</f>
        <v>16.2</v>
      </c>
      <c r="M66" s="256">
        <v>0</v>
      </c>
      <c r="N66" s="256">
        <f t="shared" ref="N66:N73" si="7">J66-M66</f>
        <v>228420</v>
      </c>
      <c r="O66" s="256">
        <f t="shared" ref="O66:O73" si="8">K66*I66-M66</f>
        <v>0</v>
      </c>
      <c r="P66" s="256">
        <v>13895</v>
      </c>
      <c r="Q66" s="256">
        <v>13800</v>
      </c>
      <c r="R66" s="256">
        <f t="shared" ref="R66:R73" si="9">P66*H66</f>
        <v>225099</v>
      </c>
      <c r="S66" s="176" t="s">
        <v>127</v>
      </c>
      <c r="T66" s="249">
        <v>32</v>
      </c>
      <c r="U66" s="249">
        <v>2</v>
      </c>
      <c r="V66" s="249">
        <v>1</v>
      </c>
      <c r="W66" s="249">
        <v>64</v>
      </c>
    </row>
    <row r="67" s="110" customFormat="1" ht="13" customHeight="1" spans="1:23">
      <c r="A67" s="110" t="s">
        <v>25</v>
      </c>
      <c r="B67" s="176" t="s">
        <v>32</v>
      </c>
      <c r="C67" s="176" t="s">
        <v>27</v>
      </c>
      <c r="D67" s="110" t="s">
        <v>33</v>
      </c>
      <c r="E67" s="143" t="s">
        <v>132</v>
      </c>
      <c r="F67" s="112">
        <v>46325</v>
      </c>
      <c r="G67" s="110" t="s">
        <v>41</v>
      </c>
      <c r="H67" s="110">
        <v>3</v>
      </c>
      <c r="I67" s="256">
        <v>14100</v>
      </c>
      <c r="J67" s="256">
        <f t="shared" si="5"/>
        <v>42300</v>
      </c>
      <c r="K67" s="110">
        <v>0</v>
      </c>
      <c r="L67" s="110">
        <f t="shared" si="6"/>
        <v>3</v>
      </c>
      <c r="M67" s="256">
        <v>0</v>
      </c>
      <c r="N67" s="256">
        <f t="shared" si="7"/>
        <v>42300</v>
      </c>
      <c r="O67" s="256">
        <f t="shared" si="8"/>
        <v>0</v>
      </c>
      <c r="P67" s="256">
        <v>13895</v>
      </c>
      <c r="Q67" s="256">
        <v>13800</v>
      </c>
      <c r="R67" s="256">
        <f t="shared" si="9"/>
        <v>41685</v>
      </c>
      <c r="S67" s="176" t="s">
        <v>127</v>
      </c>
      <c r="T67" s="199"/>
      <c r="U67" s="199"/>
      <c r="V67" s="199"/>
      <c r="W67" s="199"/>
    </row>
    <row r="68" s="110" customFormat="1" ht="13" customHeight="1" spans="1:23">
      <c r="A68" s="110" t="s">
        <v>25</v>
      </c>
      <c r="B68" s="176" t="s">
        <v>32</v>
      </c>
      <c r="C68" s="176" t="s">
        <v>27</v>
      </c>
      <c r="D68" s="110" t="s">
        <v>43</v>
      </c>
      <c r="E68" s="143" t="s">
        <v>133</v>
      </c>
      <c r="F68" s="112">
        <v>46311</v>
      </c>
      <c r="G68" s="110" t="s">
        <v>47</v>
      </c>
      <c r="H68" s="110">
        <v>4.5</v>
      </c>
      <c r="I68" s="256">
        <v>17600</v>
      </c>
      <c r="J68" s="256">
        <f t="shared" si="5"/>
        <v>79200</v>
      </c>
      <c r="K68" s="110">
        <v>4.5</v>
      </c>
      <c r="L68" s="110">
        <f t="shared" si="6"/>
        <v>0</v>
      </c>
      <c r="M68" s="256">
        <f>高科收款!D146</f>
        <v>79200</v>
      </c>
      <c r="N68" s="256">
        <f t="shared" si="7"/>
        <v>0</v>
      </c>
      <c r="O68" s="256">
        <f t="shared" si="8"/>
        <v>0</v>
      </c>
      <c r="P68" s="256">
        <v>17600</v>
      </c>
      <c r="Q68" s="256">
        <v>16950</v>
      </c>
      <c r="R68" s="256">
        <f t="shared" si="9"/>
        <v>79200</v>
      </c>
      <c r="S68" s="176" t="s">
        <v>129</v>
      </c>
      <c r="T68" s="199"/>
      <c r="U68" s="199"/>
      <c r="V68" s="199"/>
      <c r="W68" s="199"/>
    </row>
    <row r="69" s="110" customFormat="1" ht="13" customHeight="1" spans="1:23">
      <c r="A69" s="110" t="s">
        <v>25</v>
      </c>
      <c r="B69" s="176" t="s">
        <v>32</v>
      </c>
      <c r="C69" s="176" t="s">
        <v>27</v>
      </c>
      <c r="D69" s="110" t="s">
        <v>43</v>
      </c>
      <c r="E69" s="143" t="s">
        <v>134</v>
      </c>
      <c r="F69" s="112">
        <v>46315</v>
      </c>
      <c r="G69" s="110" t="s">
        <v>47</v>
      </c>
      <c r="H69" s="110">
        <v>6</v>
      </c>
      <c r="I69" s="256">
        <v>17600</v>
      </c>
      <c r="J69" s="256">
        <f t="shared" si="5"/>
        <v>105600</v>
      </c>
      <c r="K69" s="238">
        <v>6</v>
      </c>
      <c r="L69" s="238">
        <f t="shared" si="6"/>
        <v>0</v>
      </c>
      <c r="M69" s="256">
        <f>高科收款!D152</f>
        <v>105600</v>
      </c>
      <c r="N69" s="256">
        <f t="shared" si="7"/>
        <v>0</v>
      </c>
      <c r="O69" s="256">
        <f t="shared" si="8"/>
        <v>0</v>
      </c>
      <c r="P69" s="256">
        <v>17600</v>
      </c>
      <c r="Q69" s="256">
        <v>16450</v>
      </c>
      <c r="R69" s="256">
        <f t="shared" si="9"/>
        <v>105600</v>
      </c>
      <c r="S69" s="176" t="s">
        <v>129</v>
      </c>
      <c r="T69" s="199"/>
      <c r="U69" s="199"/>
      <c r="V69" s="199"/>
      <c r="W69" s="199"/>
    </row>
    <row r="70" s="110" customFormat="1" ht="13" customHeight="1" spans="1:23">
      <c r="A70" s="110" t="s">
        <v>25</v>
      </c>
      <c r="B70" s="176" t="s">
        <v>32</v>
      </c>
      <c r="C70" s="176" t="s">
        <v>27</v>
      </c>
      <c r="D70" s="110" t="s">
        <v>96</v>
      </c>
      <c r="E70" s="143" t="s">
        <v>135</v>
      </c>
      <c r="F70" s="112">
        <v>46325</v>
      </c>
      <c r="G70" s="110" t="s">
        <v>121</v>
      </c>
      <c r="H70" s="110">
        <v>12</v>
      </c>
      <c r="I70" s="256">
        <v>15100</v>
      </c>
      <c r="J70" s="256">
        <f t="shared" si="5"/>
        <v>181200</v>
      </c>
      <c r="K70" s="110">
        <v>0</v>
      </c>
      <c r="L70" s="110">
        <f t="shared" si="6"/>
        <v>12</v>
      </c>
      <c r="M70" s="256">
        <f>高科收款!D153</f>
        <v>181200</v>
      </c>
      <c r="N70" s="256">
        <f t="shared" si="7"/>
        <v>0</v>
      </c>
      <c r="O70" s="256">
        <f t="shared" si="8"/>
        <v>-181200</v>
      </c>
      <c r="P70" s="256">
        <v>15100</v>
      </c>
      <c r="Q70" s="256">
        <v>15100</v>
      </c>
      <c r="R70" s="256">
        <f t="shared" si="9"/>
        <v>181200</v>
      </c>
      <c r="S70" s="176" t="s">
        <v>82</v>
      </c>
      <c r="T70" s="199"/>
      <c r="U70" s="199"/>
      <c r="V70" s="199"/>
      <c r="W70" s="199"/>
    </row>
    <row r="71" s="110" customFormat="1" ht="13" customHeight="1" spans="1:23">
      <c r="A71" s="110" t="s">
        <v>25</v>
      </c>
      <c r="B71" s="176" t="s">
        <v>32</v>
      </c>
      <c r="C71" s="176" t="s">
        <v>27</v>
      </c>
      <c r="D71" s="110" t="s">
        <v>33</v>
      </c>
      <c r="E71" s="143" t="s">
        <v>136</v>
      </c>
      <c r="F71" s="112">
        <v>46325</v>
      </c>
      <c r="G71" s="110" t="s">
        <v>35</v>
      </c>
      <c r="H71" s="110">
        <v>30.66</v>
      </c>
      <c r="I71" s="256">
        <v>16300</v>
      </c>
      <c r="J71" s="256">
        <f t="shared" si="5"/>
        <v>499758</v>
      </c>
      <c r="K71" s="110">
        <v>0</v>
      </c>
      <c r="L71" s="110">
        <f t="shared" si="6"/>
        <v>30.66</v>
      </c>
      <c r="M71" s="256">
        <v>0</v>
      </c>
      <c r="N71" s="256">
        <f t="shared" si="7"/>
        <v>499758</v>
      </c>
      <c r="O71" s="256">
        <f t="shared" si="8"/>
        <v>0</v>
      </c>
      <c r="P71" s="256">
        <v>16300</v>
      </c>
      <c r="Q71" s="256">
        <v>16300</v>
      </c>
      <c r="R71" s="256">
        <f t="shared" si="9"/>
        <v>499758</v>
      </c>
      <c r="S71" s="176" t="s">
        <v>129</v>
      </c>
      <c r="T71" s="199"/>
      <c r="U71" s="199"/>
      <c r="V71" s="199"/>
      <c r="W71" s="199"/>
    </row>
    <row r="72" s="110" customFormat="1" ht="13" customHeight="1" spans="1:23">
      <c r="A72" s="110" t="s">
        <v>25</v>
      </c>
      <c r="B72" s="176" t="s">
        <v>32</v>
      </c>
      <c r="C72" s="176" t="s">
        <v>27</v>
      </c>
      <c r="D72" s="110" t="s">
        <v>43</v>
      </c>
      <c r="E72" s="143" t="s">
        <v>137</v>
      </c>
      <c r="F72" s="112">
        <v>46325</v>
      </c>
      <c r="G72" s="110" t="s">
        <v>47</v>
      </c>
      <c r="H72" s="110">
        <v>4.5</v>
      </c>
      <c r="I72" s="256">
        <v>17600</v>
      </c>
      <c r="J72" s="256">
        <f t="shared" si="5"/>
        <v>79200</v>
      </c>
      <c r="K72" s="185">
        <v>4.5</v>
      </c>
      <c r="L72" s="238">
        <f t="shared" si="6"/>
        <v>0</v>
      </c>
      <c r="M72" s="256">
        <v>79200</v>
      </c>
      <c r="N72" s="256">
        <f t="shared" si="7"/>
        <v>0</v>
      </c>
      <c r="O72" s="256">
        <f t="shared" si="8"/>
        <v>0</v>
      </c>
      <c r="P72" s="256">
        <v>17600</v>
      </c>
      <c r="Q72" s="256">
        <v>16450</v>
      </c>
      <c r="R72" s="256">
        <f t="shared" si="9"/>
        <v>79200</v>
      </c>
      <c r="S72" s="176" t="s">
        <v>129</v>
      </c>
      <c r="T72" s="199"/>
      <c r="U72" s="199"/>
      <c r="V72" s="199"/>
      <c r="W72" s="199"/>
    </row>
    <row r="73" s="110" customFormat="1" ht="13" customHeight="1" spans="1:23">
      <c r="A73" s="110" t="s">
        <v>25</v>
      </c>
      <c r="B73" s="176" t="s">
        <v>32</v>
      </c>
      <c r="C73" s="176" t="s">
        <v>27</v>
      </c>
      <c r="D73" s="110" t="s">
        <v>43</v>
      </c>
      <c r="E73" s="143" t="s">
        <v>137</v>
      </c>
      <c r="F73" s="112">
        <v>46325</v>
      </c>
      <c r="G73" s="110" t="s">
        <v>45</v>
      </c>
      <c r="H73" s="110">
        <v>6</v>
      </c>
      <c r="I73" s="256">
        <v>17600</v>
      </c>
      <c r="J73" s="256">
        <f t="shared" si="5"/>
        <v>105600</v>
      </c>
      <c r="K73" s="185">
        <v>6</v>
      </c>
      <c r="L73" s="238">
        <f t="shared" si="6"/>
        <v>0</v>
      </c>
      <c r="M73" s="256">
        <v>105600</v>
      </c>
      <c r="N73" s="256">
        <f t="shared" si="7"/>
        <v>0</v>
      </c>
      <c r="O73" s="256">
        <f t="shared" si="8"/>
        <v>0</v>
      </c>
      <c r="P73" s="256">
        <v>17600</v>
      </c>
      <c r="Q73" s="256">
        <v>16450</v>
      </c>
      <c r="R73" s="256">
        <f t="shared" si="9"/>
        <v>105600</v>
      </c>
      <c r="S73" s="176" t="s">
        <v>129</v>
      </c>
      <c r="T73" s="199"/>
      <c r="U73" s="199"/>
      <c r="V73" s="199"/>
      <c r="W73" s="199"/>
    </row>
  </sheetData>
  <autoFilter xmlns:etc="http://www.wps.cn/officeDocument/2017/etCustomData" ref="A1:Y73" etc:filterBottomFollowUsedRange="0">
    <extLst/>
  </autoFilter>
  <mergeCells count="8">
    <mergeCell ref="T28:T29"/>
    <mergeCell ref="T66:T67"/>
    <mergeCell ref="U28:U29"/>
    <mergeCell ref="U66:U67"/>
    <mergeCell ref="V28:V29"/>
    <mergeCell ref="V66:V67"/>
    <mergeCell ref="W28:W29"/>
    <mergeCell ref="W66:W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8"/>
  <sheetViews>
    <sheetView zoomScale="85" zoomScaleNormal="85" workbookViewId="0">
      <pane xSplit="7" ySplit="1" topLeftCell="H36" activePane="bottomRight" state="frozen"/>
      <selection/>
      <selection pane="topRight"/>
      <selection pane="bottomLeft"/>
      <selection pane="bottomRight" activeCell="C48" sqref="C48"/>
    </sheetView>
  </sheetViews>
  <sheetFormatPr defaultColWidth="9" defaultRowHeight="13.5"/>
  <cols>
    <col min="1" max="1" width="7.31858407079646" customWidth="1"/>
    <col min="2" max="2" width="11.5575221238938" customWidth="1"/>
    <col min="3" max="3" width="17.7256637168142" style="218" customWidth="1"/>
    <col min="4" max="4" width="23.4424778761062" style="219" customWidth="1"/>
    <col min="5" max="5" width="10.8849557522124" style="4" customWidth="1"/>
    <col min="6" max="6" width="8.96460176991151" style="4" customWidth="1"/>
    <col min="7" max="7" width="7.10619469026549" style="194" customWidth="1"/>
    <col min="8" max="8" width="12.4247787610619" style="220" customWidth="1"/>
    <col min="9" max="9" width="14.6106194690265" style="194" customWidth="1"/>
    <col min="10" max="10" width="11.7610619469027" style="1" customWidth="1"/>
    <col min="11" max="11" width="7.10619469026549" customWidth="1"/>
    <col min="12" max="12" width="13.1238938053097" style="1" customWidth="1"/>
    <col min="13" max="14" width="13.0442477876106" customWidth="1"/>
    <col min="15" max="15" width="13.0442477876106" style="221" customWidth="1"/>
    <col min="16" max="16" width="13.0442477876106" customWidth="1"/>
    <col min="17" max="17" width="8.96460176991151" customWidth="1"/>
    <col min="18" max="19" width="12.7256637168142" customWidth="1"/>
    <col min="20" max="20" width="13.858407079646" customWidth="1"/>
    <col min="21" max="21" width="13.2035398230088" customWidth="1"/>
    <col min="22" max="22" width="8.96460176991151" customWidth="1"/>
    <col min="23" max="23" width="18.353982300885" customWidth="1"/>
    <col min="24" max="24" width="10.8849557522124" style="221" customWidth="1"/>
    <col min="25" max="25" width="8.96460176991151" style="221" customWidth="1"/>
    <col min="26" max="26" width="11.6548672566372" style="221" customWidth="1"/>
    <col min="27" max="27" width="10.8849557522124" customWidth="1"/>
    <col min="28" max="28" width="8.96460176991151" style="4" customWidth="1"/>
    <col min="29" max="29" width="7.10619469026549" style="4" customWidth="1"/>
    <col min="30" max="31" width="5.24778761061947" style="4" customWidth="1"/>
    <col min="32" max="33" width="5.24778761061947" customWidth="1"/>
  </cols>
  <sheetData>
    <row r="1" s="217" customFormat="1" ht="18" customHeight="1" spans="1:35">
      <c r="A1" s="222" t="s">
        <v>0</v>
      </c>
      <c r="B1" s="222" t="s">
        <v>1</v>
      </c>
      <c r="C1" s="222" t="s">
        <v>3</v>
      </c>
      <c r="D1" s="223" t="s">
        <v>4</v>
      </c>
      <c r="E1" s="222" t="s">
        <v>5</v>
      </c>
      <c r="F1" s="222" t="s">
        <v>6</v>
      </c>
      <c r="G1" s="222" t="s">
        <v>7</v>
      </c>
      <c r="H1" s="222" t="s">
        <v>8</v>
      </c>
      <c r="I1" s="222" t="s">
        <v>9</v>
      </c>
      <c r="J1" s="229" t="s">
        <v>10</v>
      </c>
      <c r="K1" s="229" t="s">
        <v>11</v>
      </c>
      <c r="L1" s="229" t="s">
        <v>12</v>
      </c>
      <c r="M1" s="230" t="s">
        <v>13</v>
      </c>
      <c r="N1" s="230" t="s">
        <v>14</v>
      </c>
      <c r="O1" s="231" t="s">
        <v>138</v>
      </c>
      <c r="P1" s="231" t="s">
        <v>139</v>
      </c>
      <c r="Q1" s="239" t="s">
        <v>140</v>
      </c>
      <c r="R1" s="240" t="s">
        <v>15</v>
      </c>
      <c r="S1" s="240" t="s">
        <v>16</v>
      </c>
      <c r="T1" s="240" t="s">
        <v>17</v>
      </c>
      <c r="U1" s="241" t="s">
        <v>18</v>
      </c>
      <c r="V1" s="241" t="s">
        <v>141</v>
      </c>
      <c r="W1" s="242" t="s">
        <v>142</v>
      </c>
      <c r="X1" s="242" t="s">
        <v>143</v>
      </c>
      <c r="Y1" s="242" t="s">
        <v>144</v>
      </c>
      <c r="Z1" s="242" t="s">
        <v>145</v>
      </c>
      <c r="AA1" s="242" t="s">
        <v>146</v>
      </c>
      <c r="AB1" s="243" t="s">
        <v>147</v>
      </c>
      <c r="AC1" s="243" t="s">
        <v>20</v>
      </c>
      <c r="AD1" s="243" t="s">
        <v>21</v>
      </c>
      <c r="AE1" s="243" t="s">
        <v>22</v>
      </c>
      <c r="AF1" s="243" t="s">
        <v>23</v>
      </c>
      <c r="AG1" s="243" t="s">
        <v>24</v>
      </c>
      <c r="AH1" s="217" t="s">
        <v>148</v>
      </c>
      <c r="AI1" s="217" t="s">
        <v>149</v>
      </c>
    </row>
    <row r="2" s="137" customFormat="1" ht="16" customHeight="1" spans="1:33">
      <c r="A2" s="66" t="s">
        <v>150</v>
      </c>
      <c r="B2" s="142" t="s">
        <v>151</v>
      </c>
      <c r="C2" s="224" t="s">
        <v>152</v>
      </c>
      <c r="D2" s="225" t="s">
        <v>153</v>
      </c>
      <c r="E2" s="68">
        <v>46172</v>
      </c>
      <c r="F2" s="66" t="s">
        <v>35</v>
      </c>
      <c r="G2" s="66">
        <v>75</v>
      </c>
      <c r="H2" s="69">
        <v>2860</v>
      </c>
      <c r="I2" s="69">
        <f t="shared" ref="I2:I20" si="0">G2*H2</f>
        <v>214500</v>
      </c>
      <c r="J2" s="66">
        <v>0</v>
      </c>
      <c r="K2" s="66">
        <f t="shared" ref="K2:K20" si="1">G2-J2</f>
        <v>75</v>
      </c>
      <c r="L2" s="149">
        <v>0</v>
      </c>
      <c r="M2" s="69">
        <f t="shared" ref="M2:M20" si="2">I2-L2</f>
        <v>214500</v>
      </c>
      <c r="N2" s="69">
        <f>J2*H2-L2</f>
        <v>0</v>
      </c>
      <c r="O2" s="232">
        <v>0</v>
      </c>
      <c r="P2" s="69">
        <f>P20</f>
        <v>0</v>
      </c>
      <c r="Q2" s="66">
        <v>6.86</v>
      </c>
      <c r="R2" s="78">
        <v>20530</v>
      </c>
      <c r="S2" s="78">
        <v>20500</v>
      </c>
      <c r="T2" s="78">
        <f t="shared" ref="T2:T20" si="3">R2*G2</f>
        <v>1539750</v>
      </c>
      <c r="U2" s="67" t="s">
        <v>154</v>
      </c>
      <c r="V2" s="66" t="s">
        <v>155</v>
      </c>
      <c r="W2" s="137" t="s">
        <v>156</v>
      </c>
      <c r="X2" s="232">
        <f>4*3400</f>
        <v>13600</v>
      </c>
      <c r="Y2" s="232">
        <f>4*50</f>
        <v>200</v>
      </c>
      <c r="Z2" s="244">
        <f>4*4000</f>
        <v>16000</v>
      </c>
      <c r="AA2" s="66"/>
      <c r="AB2" s="245"/>
      <c r="AC2" s="245"/>
      <c r="AD2" s="245"/>
      <c r="AE2" s="245"/>
      <c r="AF2" s="245"/>
      <c r="AG2" s="66"/>
    </row>
    <row r="3" s="137" customFormat="1" ht="16" customHeight="1" spans="1:33">
      <c r="A3" s="66" t="s">
        <v>150</v>
      </c>
      <c r="B3" s="142" t="s">
        <v>151</v>
      </c>
      <c r="C3" s="224" t="s">
        <v>152</v>
      </c>
      <c r="D3" s="225" t="s">
        <v>157</v>
      </c>
      <c r="E3" s="68">
        <v>46178</v>
      </c>
      <c r="F3" s="66" t="s">
        <v>35</v>
      </c>
      <c r="G3" s="66">
        <v>56.25</v>
      </c>
      <c r="H3" s="69">
        <v>2880</v>
      </c>
      <c r="I3" s="69">
        <f t="shared" si="0"/>
        <v>162000</v>
      </c>
      <c r="J3" s="66">
        <v>0</v>
      </c>
      <c r="K3" s="66">
        <f t="shared" si="1"/>
        <v>56.25</v>
      </c>
      <c r="L3" s="149">
        <v>0</v>
      </c>
      <c r="M3" s="69">
        <f t="shared" si="2"/>
        <v>162000</v>
      </c>
      <c r="N3" s="69">
        <f>J3*H3-L3</f>
        <v>0</v>
      </c>
      <c r="O3" s="232">
        <v>0</v>
      </c>
      <c r="P3" s="69">
        <f>P2</f>
        <v>0</v>
      </c>
      <c r="Q3" s="66">
        <v>6.81</v>
      </c>
      <c r="R3" s="78">
        <v>20506</v>
      </c>
      <c r="S3" s="78">
        <v>20500</v>
      </c>
      <c r="T3" s="78">
        <f t="shared" si="3"/>
        <v>1153462.5</v>
      </c>
      <c r="U3" s="67" t="s">
        <v>154</v>
      </c>
      <c r="V3" s="66" t="s">
        <v>155</v>
      </c>
      <c r="W3" s="137" t="s">
        <v>156</v>
      </c>
      <c r="X3" s="232">
        <f>3*3400</f>
        <v>10200</v>
      </c>
      <c r="Y3" s="232">
        <f>3*50</f>
        <v>150</v>
      </c>
      <c r="Z3" s="244">
        <f>3*4500</f>
        <v>13500</v>
      </c>
      <c r="AA3" s="66"/>
      <c r="AB3" s="245"/>
      <c r="AC3" s="245"/>
      <c r="AD3" s="245"/>
      <c r="AE3" s="245"/>
      <c r="AF3" s="245"/>
      <c r="AG3" s="66"/>
    </row>
    <row r="4" s="23" customFormat="1" ht="13.85" spans="1:34">
      <c r="A4" s="24" t="s">
        <v>37</v>
      </c>
      <c r="B4" s="143" t="s">
        <v>158</v>
      </c>
      <c r="C4" s="207" t="s">
        <v>159</v>
      </c>
      <c r="D4" s="203" t="s">
        <v>160</v>
      </c>
      <c r="E4" s="71">
        <v>46058</v>
      </c>
      <c r="F4" s="24" t="s">
        <v>41</v>
      </c>
      <c r="G4" s="66">
        <v>19.2</v>
      </c>
      <c r="H4" s="72">
        <v>1720</v>
      </c>
      <c r="I4" s="72">
        <f t="shared" si="0"/>
        <v>33024</v>
      </c>
      <c r="J4" s="24">
        <v>19.2</v>
      </c>
      <c r="K4" s="110">
        <f t="shared" si="1"/>
        <v>0</v>
      </c>
      <c r="L4" s="151">
        <f>高科收款!D2+高科收款!D5</f>
        <v>32984</v>
      </c>
      <c r="M4" s="72">
        <f t="shared" si="2"/>
        <v>40</v>
      </c>
      <c r="N4" s="72">
        <f>J4*H4-L4</f>
        <v>40</v>
      </c>
      <c r="O4" s="233">
        <v>0</v>
      </c>
      <c r="P4" s="72">
        <f>O4*G4</f>
        <v>0</v>
      </c>
      <c r="Q4" s="24">
        <v>6.95</v>
      </c>
      <c r="R4" s="73">
        <v>12007</v>
      </c>
      <c r="S4" s="73">
        <v>11400</v>
      </c>
      <c r="T4" s="73">
        <f t="shared" si="3"/>
        <v>230534.4</v>
      </c>
      <c r="U4" s="51" t="s">
        <v>161</v>
      </c>
      <c r="V4" s="24" t="s">
        <v>155</v>
      </c>
      <c r="W4" s="23" t="s">
        <v>162</v>
      </c>
      <c r="X4" s="233">
        <v>2600</v>
      </c>
      <c r="Y4" s="233">
        <v>38</v>
      </c>
      <c r="Z4" s="246">
        <v>4500</v>
      </c>
      <c r="AA4" s="24"/>
      <c r="AB4" s="24">
        <v>32</v>
      </c>
      <c r="AC4" s="24">
        <v>4</v>
      </c>
      <c r="AD4" s="24">
        <v>1</v>
      </c>
      <c r="AE4" s="24">
        <v>130</v>
      </c>
      <c r="AF4" s="24"/>
      <c r="AG4" s="24"/>
      <c r="AH4" s="23" t="s">
        <v>163</v>
      </c>
    </row>
    <row r="5" s="23" customFormat="1" ht="13.85" spans="1:33">
      <c r="A5" s="24" t="s">
        <v>25</v>
      </c>
      <c r="B5" s="143" t="s">
        <v>164</v>
      </c>
      <c r="C5" s="207" t="s">
        <v>165</v>
      </c>
      <c r="D5" s="203" t="s">
        <v>166</v>
      </c>
      <c r="E5" s="71">
        <v>46063</v>
      </c>
      <c r="F5" s="24" t="s">
        <v>30</v>
      </c>
      <c r="G5" s="24">
        <v>492.72</v>
      </c>
      <c r="H5" s="72">
        <v>1485</v>
      </c>
      <c r="I5" s="72">
        <f t="shared" si="0"/>
        <v>731689.2</v>
      </c>
      <c r="J5" s="24">
        <f>316.8+57.6+高科出库!E16+高科出库!E57+高科出库!E58+54.88</f>
        <v>492.72</v>
      </c>
      <c r="K5" s="24">
        <f t="shared" si="1"/>
        <v>0</v>
      </c>
      <c r="L5" s="151">
        <f>高科收款!D3+高科收款!D4</f>
        <v>741286</v>
      </c>
      <c r="M5" s="72">
        <f t="shared" si="2"/>
        <v>-9596.79999999993</v>
      </c>
      <c r="N5" s="72">
        <f t="shared" ref="N5:N32" si="4">J5*H5-L5</f>
        <v>-9596.79999999993</v>
      </c>
      <c r="O5" s="233">
        <v>0</v>
      </c>
      <c r="P5" s="72">
        <f t="shared" ref="P5:P19" si="5">O5*G5</f>
        <v>0</v>
      </c>
      <c r="Q5" s="24">
        <v>6.982</v>
      </c>
      <c r="R5" s="73">
        <v>11440</v>
      </c>
      <c r="S5" s="73">
        <v>11400</v>
      </c>
      <c r="T5" s="73">
        <f t="shared" si="3"/>
        <v>5636716.8</v>
      </c>
      <c r="U5" s="51" t="s">
        <v>167</v>
      </c>
      <c r="V5" s="24" t="s">
        <v>168</v>
      </c>
      <c r="W5" s="23" t="s">
        <v>169</v>
      </c>
      <c r="X5" s="233">
        <v>0</v>
      </c>
      <c r="Y5" s="233">
        <v>0</v>
      </c>
      <c r="Z5" s="246">
        <v>0</v>
      </c>
      <c r="AA5" s="24">
        <v>0</v>
      </c>
      <c r="AB5" s="24">
        <v>416</v>
      </c>
      <c r="AC5" s="24"/>
      <c r="AD5" s="24">
        <v>13</v>
      </c>
      <c r="AE5" s="24">
        <v>1664</v>
      </c>
      <c r="AF5" s="24">
        <v>832</v>
      </c>
      <c r="AG5" s="24"/>
    </row>
    <row r="6" s="23" customFormat="1" ht="13.85" spans="1:34">
      <c r="A6" s="24" t="s">
        <v>37</v>
      </c>
      <c r="B6" s="143" t="s">
        <v>164</v>
      </c>
      <c r="C6" s="207" t="s">
        <v>170</v>
      </c>
      <c r="D6" s="203" t="s">
        <v>171</v>
      </c>
      <c r="E6" s="71">
        <v>46091</v>
      </c>
      <c r="F6" s="24" t="s">
        <v>30</v>
      </c>
      <c r="G6" s="24">
        <v>19.2</v>
      </c>
      <c r="H6" s="72">
        <v>1540</v>
      </c>
      <c r="I6" s="72">
        <f t="shared" si="0"/>
        <v>29568</v>
      </c>
      <c r="J6" s="24">
        <f>高科出库!E17</f>
        <v>19.2</v>
      </c>
      <c r="K6" s="24">
        <f t="shared" si="1"/>
        <v>0</v>
      </c>
      <c r="L6" s="234">
        <f>23960.99+5607.01</f>
        <v>29568</v>
      </c>
      <c r="M6" s="72">
        <f t="shared" si="2"/>
        <v>0</v>
      </c>
      <c r="N6" s="72">
        <f t="shared" si="4"/>
        <v>0</v>
      </c>
      <c r="O6" s="233">
        <v>0</v>
      </c>
      <c r="P6" s="72">
        <f t="shared" si="5"/>
        <v>0</v>
      </c>
      <c r="Q6" s="24">
        <v>6.96</v>
      </c>
      <c r="R6" s="73">
        <v>11731</v>
      </c>
      <c r="S6" s="73">
        <v>11650</v>
      </c>
      <c r="T6" s="73">
        <f t="shared" si="3"/>
        <v>225235.2</v>
      </c>
      <c r="U6" s="51" t="s">
        <v>167</v>
      </c>
      <c r="V6" s="24" t="s">
        <v>168</v>
      </c>
      <c r="W6" s="23" t="s">
        <v>169</v>
      </c>
      <c r="X6" s="233">
        <v>0</v>
      </c>
      <c r="Y6" s="233">
        <v>0</v>
      </c>
      <c r="Z6" s="246">
        <v>0</v>
      </c>
      <c r="AA6" s="24">
        <v>0</v>
      </c>
      <c r="AB6" s="24">
        <v>32</v>
      </c>
      <c r="AC6" s="24"/>
      <c r="AD6" s="24">
        <v>1</v>
      </c>
      <c r="AE6" s="24">
        <v>128</v>
      </c>
      <c r="AF6" s="24">
        <v>32</v>
      </c>
      <c r="AG6" s="24"/>
      <c r="AH6" s="23" t="s">
        <v>172</v>
      </c>
    </row>
    <row r="7" s="23" customFormat="1" ht="12" customHeight="1" spans="1:33">
      <c r="A7" s="24" t="s">
        <v>37</v>
      </c>
      <c r="B7" s="143" t="s">
        <v>173</v>
      </c>
      <c r="C7" s="207" t="s">
        <v>170</v>
      </c>
      <c r="D7" s="203" t="s">
        <v>174</v>
      </c>
      <c r="E7" s="71">
        <v>46092</v>
      </c>
      <c r="F7" s="24" t="s">
        <v>35</v>
      </c>
      <c r="G7" s="24">
        <v>37.5</v>
      </c>
      <c r="H7" s="72">
        <v>1700</v>
      </c>
      <c r="I7" s="72">
        <f t="shared" si="0"/>
        <v>63750</v>
      </c>
      <c r="J7" s="24">
        <v>37.5</v>
      </c>
      <c r="K7" s="110">
        <f t="shared" si="1"/>
        <v>0</v>
      </c>
      <c r="L7" s="235">
        <f>50936.99-5607.01+18420.02</f>
        <v>63750</v>
      </c>
      <c r="M7" s="72">
        <f t="shared" si="2"/>
        <v>0</v>
      </c>
      <c r="N7" s="72">
        <f t="shared" si="4"/>
        <v>0</v>
      </c>
      <c r="O7" s="233">
        <v>0</v>
      </c>
      <c r="P7" s="72">
        <f t="shared" si="5"/>
        <v>0</v>
      </c>
      <c r="Q7" s="24">
        <v>6.95</v>
      </c>
      <c r="R7" s="226">
        <v>13345</v>
      </c>
      <c r="S7" s="73">
        <v>13200</v>
      </c>
      <c r="T7" s="73">
        <f t="shared" si="3"/>
        <v>500437.5</v>
      </c>
      <c r="U7" s="51" t="s">
        <v>175</v>
      </c>
      <c r="V7" s="24" t="s">
        <v>168</v>
      </c>
      <c r="W7" s="23" t="s">
        <v>169</v>
      </c>
      <c r="X7" s="233">
        <v>0</v>
      </c>
      <c r="Y7" s="233">
        <v>0</v>
      </c>
      <c r="Z7" s="246">
        <v>0</v>
      </c>
      <c r="AA7" s="24">
        <v>0</v>
      </c>
      <c r="AB7" s="24"/>
      <c r="AC7" s="24"/>
      <c r="AD7" s="24"/>
      <c r="AE7" s="24"/>
      <c r="AF7" s="24"/>
      <c r="AG7" s="24"/>
    </row>
    <row r="8" s="23" customFormat="1" ht="13.85" spans="1:33">
      <c r="A8" s="24" t="s">
        <v>37</v>
      </c>
      <c r="B8" s="143" t="s">
        <v>173</v>
      </c>
      <c r="C8" s="207" t="s">
        <v>176</v>
      </c>
      <c r="D8" s="203" t="s">
        <v>177</v>
      </c>
      <c r="E8" s="71">
        <v>46122</v>
      </c>
      <c r="F8" s="24" t="s">
        <v>30</v>
      </c>
      <c r="G8" s="66">
        <v>71.68</v>
      </c>
      <c r="H8" s="226">
        <v>1732</v>
      </c>
      <c r="I8" s="226">
        <f t="shared" si="0"/>
        <v>124149.76</v>
      </c>
      <c r="J8" s="24">
        <v>71.68</v>
      </c>
      <c r="K8" s="66">
        <f t="shared" si="1"/>
        <v>0</v>
      </c>
      <c r="L8" s="151">
        <f>高科收款!D7</f>
        <v>79273.83</v>
      </c>
      <c r="M8" s="226">
        <f t="shared" si="2"/>
        <v>44875.93</v>
      </c>
      <c r="N8" s="226">
        <f t="shared" si="4"/>
        <v>44875.93</v>
      </c>
      <c r="O8" s="233">
        <v>0</v>
      </c>
      <c r="P8" s="72">
        <f t="shared" si="5"/>
        <v>0</v>
      </c>
      <c r="Q8" s="24">
        <v>6.9</v>
      </c>
      <c r="R8" s="73">
        <v>13644</v>
      </c>
      <c r="S8" s="73"/>
      <c r="T8" s="73">
        <f t="shared" si="3"/>
        <v>978001.92</v>
      </c>
      <c r="U8" s="51" t="s">
        <v>178</v>
      </c>
      <c r="V8" s="24" t="s">
        <v>155</v>
      </c>
      <c r="W8" s="23" t="s">
        <v>179</v>
      </c>
      <c r="X8" s="233">
        <f>3700*4</f>
        <v>14800</v>
      </c>
      <c r="Y8" s="233">
        <f>42.4*4</f>
        <v>169.6</v>
      </c>
      <c r="Z8" s="246">
        <f>4000*4</f>
        <v>16000</v>
      </c>
      <c r="AA8" s="24"/>
      <c r="AB8" s="107">
        <v>160</v>
      </c>
      <c r="AC8" s="107">
        <v>4</v>
      </c>
      <c r="AD8" s="107">
        <v>7</v>
      </c>
      <c r="AE8" s="107">
        <v>896</v>
      </c>
      <c r="AF8" s="107">
        <v>128</v>
      </c>
      <c r="AG8" s="24"/>
    </row>
    <row r="9" s="23" customFormat="1" ht="13.85" spans="1:33">
      <c r="A9" s="24" t="s">
        <v>37</v>
      </c>
      <c r="B9" s="143" t="s">
        <v>173</v>
      </c>
      <c r="C9" s="207" t="s">
        <v>176</v>
      </c>
      <c r="D9" s="203" t="s">
        <v>177</v>
      </c>
      <c r="E9" s="71">
        <v>46122</v>
      </c>
      <c r="F9" s="24" t="s">
        <v>30</v>
      </c>
      <c r="G9" s="66">
        <f>35.84+17.92</f>
        <v>53.76</v>
      </c>
      <c r="H9" s="226">
        <v>1732</v>
      </c>
      <c r="I9" s="226">
        <f t="shared" si="0"/>
        <v>93112.32</v>
      </c>
      <c r="J9" s="24">
        <f>35.84+17.92</f>
        <v>53.76</v>
      </c>
      <c r="K9" s="66">
        <f t="shared" si="1"/>
        <v>0</v>
      </c>
      <c r="L9" s="151">
        <f>高科收款!D40</f>
        <v>169922.68</v>
      </c>
      <c r="M9" s="226">
        <f t="shared" si="2"/>
        <v>-76810.36</v>
      </c>
      <c r="N9" s="226">
        <f t="shared" si="4"/>
        <v>-76810.36</v>
      </c>
      <c r="O9" s="233">
        <v>0</v>
      </c>
      <c r="P9" s="72">
        <f t="shared" si="5"/>
        <v>0</v>
      </c>
      <c r="Q9" s="24">
        <v>6.9</v>
      </c>
      <c r="R9" s="73">
        <v>13695</v>
      </c>
      <c r="S9" s="73"/>
      <c r="T9" s="73">
        <f t="shared" si="3"/>
        <v>736243.2</v>
      </c>
      <c r="U9" s="51" t="s">
        <v>180</v>
      </c>
      <c r="V9" s="24" t="s">
        <v>155</v>
      </c>
      <c r="W9" s="23" t="s">
        <v>179</v>
      </c>
      <c r="X9" s="233">
        <f>3700*3</f>
        <v>11100</v>
      </c>
      <c r="Y9" s="233">
        <f>42.4*3</f>
        <v>127.2</v>
      </c>
      <c r="Z9" s="246">
        <f>4000*3</f>
        <v>12000</v>
      </c>
      <c r="AA9" s="24"/>
      <c r="AB9" s="131"/>
      <c r="AC9" s="131"/>
      <c r="AD9" s="131"/>
      <c r="AE9" s="131"/>
      <c r="AF9" s="131"/>
      <c r="AG9" s="24"/>
    </row>
    <row r="10" s="23" customFormat="1" ht="13.85" spans="1:33">
      <c r="A10" s="24" t="s">
        <v>37</v>
      </c>
      <c r="B10" s="143" t="s">
        <v>151</v>
      </c>
      <c r="C10" s="207" t="s">
        <v>170</v>
      </c>
      <c r="D10" s="203" t="s">
        <v>181</v>
      </c>
      <c r="E10" s="71">
        <v>46122</v>
      </c>
      <c r="F10" s="24" t="s">
        <v>30</v>
      </c>
      <c r="G10" s="66">
        <v>53.76</v>
      </c>
      <c r="H10" s="72">
        <v>1770</v>
      </c>
      <c r="I10" s="72">
        <f t="shared" si="0"/>
        <v>95155.2</v>
      </c>
      <c r="J10" s="24">
        <v>53.76</v>
      </c>
      <c r="K10" s="66">
        <f t="shared" si="1"/>
        <v>0</v>
      </c>
      <c r="L10" s="236">
        <f>44990.21-18420.02+高科收款!D62</f>
        <v>94999.17</v>
      </c>
      <c r="M10" s="72">
        <f t="shared" si="2"/>
        <v>156.029999999999</v>
      </c>
      <c r="N10" s="72">
        <f t="shared" si="4"/>
        <v>156.029999999999</v>
      </c>
      <c r="O10" s="233">
        <v>0</v>
      </c>
      <c r="P10" s="72">
        <f t="shared" si="5"/>
        <v>0</v>
      </c>
      <c r="Q10" s="24">
        <v>6.9</v>
      </c>
      <c r="R10" s="73">
        <v>13420</v>
      </c>
      <c r="S10" s="73"/>
      <c r="T10" s="73">
        <f t="shared" si="3"/>
        <v>721459.2</v>
      </c>
      <c r="U10" s="51" t="s">
        <v>182</v>
      </c>
      <c r="V10" s="24" t="s">
        <v>168</v>
      </c>
      <c r="W10" s="23" t="s">
        <v>169</v>
      </c>
      <c r="X10" s="233">
        <v>0</v>
      </c>
      <c r="Y10" s="233">
        <v>0</v>
      </c>
      <c r="Z10" s="246">
        <v>0</v>
      </c>
      <c r="AA10" s="24">
        <v>0</v>
      </c>
      <c r="AB10" s="131">
        <v>96</v>
      </c>
      <c r="AC10" s="131"/>
      <c r="AD10" s="131">
        <v>3</v>
      </c>
      <c r="AE10" s="131">
        <v>384</v>
      </c>
      <c r="AF10" s="131">
        <v>96</v>
      </c>
      <c r="AG10" s="24"/>
    </row>
    <row r="11" s="138" customFormat="1" ht="13.85" spans="1:33">
      <c r="A11" s="110" t="s">
        <v>150</v>
      </c>
      <c r="B11" s="143" t="s">
        <v>183</v>
      </c>
      <c r="C11" s="209" t="s">
        <v>152</v>
      </c>
      <c r="D11" s="206" t="s">
        <v>184</v>
      </c>
      <c r="E11" s="112">
        <v>46132</v>
      </c>
      <c r="F11" s="110" t="s">
        <v>35</v>
      </c>
      <c r="G11" s="110">
        <v>130.56</v>
      </c>
      <c r="H11" s="79">
        <v>2290</v>
      </c>
      <c r="I11" s="79">
        <f t="shared" si="0"/>
        <v>298982.4</v>
      </c>
      <c r="J11" s="110">
        <v>130.56</v>
      </c>
      <c r="K11" s="110">
        <f t="shared" si="1"/>
        <v>0</v>
      </c>
      <c r="L11" s="153">
        <f>高科收款!D25</f>
        <v>298982.4</v>
      </c>
      <c r="M11" s="79">
        <f t="shared" si="2"/>
        <v>0</v>
      </c>
      <c r="N11" s="79">
        <f t="shared" si="4"/>
        <v>0</v>
      </c>
      <c r="O11" s="237">
        <v>0</v>
      </c>
      <c r="P11" s="79">
        <f t="shared" si="5"/>
        <v>0</v>
      </c>
      <c r="Q11" s="110">
        <v>6.9</v>
      </c>
      <c r="R11" s="113">
        <v>15354</v>
      </c>
      <c r="S11" s="113">
        <v>15350</v>
      </c>
      <c r="T11" s="113">
        <f t="shared" si="3"/>
        <v>2004618.24</v>
      </c>
      <c r="U11" s="111" t="s">
        <v>185</v>
      </c>
      <c r="V11" s="110" t="s">
        <v>155</v>
      </c>
      <c r="W11" s="138" t="s">
        <v>186</v>
      </c>
      <c r="X11" s="237">
        <f>4000*8</f>
        <v>32000</v>
      </c>
      <c r="Y11" s="237">
        <f>30*8</f>
        <v>240</v>
      </c>
      <c r="Z11" s="247">
        <f>4000*8</f>
        <v>32000</v>
      </c>
      <c r="AA11" s="110"/>
      <c r="AB11" s="199">
        <v>256</v>
      </c>
      <c r="AC11" s="199">
        <v>32</v>
      </c>
      <c r="AD11" s="199">
        <v>8</v>
      </c>
      <c r="AE11" s="199">
        <v>1040</v>
      </c>
      <c r="AF11" s="199"/>
      <c r="AG11" s="110"/>
    </row>
    <row r="12" s="138" customFormat="1" ht="16" customHeight="1" spans="1:33">
      <c r="A12" s="110" t="s">
        <v>150</v>
      </c>
      <c r="B12" s="143" t="s">
        <v>183</v>
      </c>
      <c r="C12" s="209" t="s">
        <v>152</v>
      </c>
      <c r="D12" s="206" t="s">
        <v>187</v>
      </c>
      <c r="E12" s="112">
        <v>46124</v>
      </c>
      <c r="F12" s="110" t="s">
        <v>35</v>
      </c>
      <c r="G12" s="110">
        <v>48.96</v>
      </c>
      <c r="H12" s="79">
        <v>2405</v>
      </c>
      <c r="I12" s="79">
        <f t="shared" si="0"/>
        <v>117748.8</v>
      </c>
      <c r="J12" s="110">
        <v>48.96</v>
      </c>
      <c r="K12" s="110">
        <f t="shared" si="1"/>
        <v>0</v>
      </c>
      <c r="L12" s="153">
        <f>高科收款!D26</f>
        <v>117748.8</v>
      </c>
      <c r="M12" s="79">
        <f t="shared" si="2"/>
        <v>0</v>
      </c>
      <c r="N12" s="79">
        <f t="shared" si="4"/>
        <v>0</v>
      </c>
      <c r="O12" s="237">
        <v>0</v>
      </c>
      <c r="P12" s="79">
        <f t="shared" si="5"/>
        <v>0</v>
      </c>
      <c r="Q12" s="110">
        <v>6.87</v>
      </c>
      <c r="R12" s="113">
        <v>16178</v>
      </c>
      <c r="S12" s="113">
        <v>16100</v>
      </c>
      <c r="T12" s="113">
        <f t="shared" si="3"/>
        <v>792074.88</v>
      </c>
      <c r="U12" s="111" t="s">
        <v>185</v>
      </c>
      <c r="V12" s="110" t="s">
        <v>155</v>
      </c>
      <c r="W12" s="138" t="s">
        <v>186</v>
      </c>
      <c r="X12" s="237">
        <f>4000*3</f>
        <v>12000</v>
      </c>
      <c r="Y12" s="237">
        <f>30*3</f>
        <v>90</v>
      </c>
      <c r="Z12" s="247">
        <f>4000*3</f>
        <v>12000</v>
      </c>
      <c r="AA12" s="110"/>
      <c r="AB12" s="199">
        <v>96</v>
      </c>
      <c r="AC12" s="199">
        <v>12</v>
      </c>
      <c r="AD12" s="199">
        <v>3</v>
      </c>
      <c r="AE12" s="199">
        <v>390</v>
      </c>
      <c r="AF12" s="199"/>
      <c r="AG12" s="110"/>
    </row>
    <row r="13" s="23" customFormat="1" ht="16" customHeight="1" spans="1:33">
      <c r="A13" s="24" t="s">
        <v>37</v>
      </c>
      <c r="B13" s="143" t="s">
        <v>173</v>
      </c>
      <c r="C13" s="207" t="s">
        <v>188</v>
      </c>
      <c r="D13" s="203" t="s">
        <v>189</v>
      </c>
      <c r="E13" s="71">
        <v>46122</v>
      </c>
      <c r="F13" s="24" t="s">
        <v>35</v>
      </c>
      <c r="G13" s="24">
        <v>56.25</v>
      </c>
      <c r="H13" s="72">
        <v>2115</v>
      </c>
      <c r="I13" s="72">
        <f t="shared" si="0"/>
        <v>118968.75</v>
      </c>
      <c r="J13" s="24">
        <v>56.25</v>
      </c>
      <c r="K13" s="24">
        <f t="shared" si="1"/>
        <v>0</v>
      </c>
      <c r="L13" s="151">
        <f>高科收款!D8+83253</f>
        <v>118919</v>
      </c>
      <c r="M13" s="72">
        <f t="shared" si="2"/>
        <v>49.75</v>
      </c>
      <c r="N13" s="72">
        <f t="shared" si="4"/>
        <v>49.75</v>
      </c>
      <c r="O13" s="233">
        <v>0</v>
      </c>
      <c r="P13" s="72">
        <f t="shared" si="5"/>
        <v>0</v>
      </c>
      <c r="Q13" s="24">
        <v>6.89</v>
      </c>
      <c r="R13" s="73">
        <v>16226</v>
      </c>
      <c r="S13" s="73"/>
      <c r="T13" s="73">
        <f t="shared" si="3"/>
        <v>912712.5</v>
      </c>
      <c r="U13" s="51" t="s">
        <v>154</v>
      </c>
      <c r="V13" s="24" t="s">
        <v>190</v>
      </c>
      <c r="W13" s="23" t="s">
        <v>191</v>
      </c>
      <c r="X13" s="233">
        <v>0</v>
      </c>
      <c r="Y13" s="233">
        <v>0</v>
      </c>
      <c r="Z13" s="246">
        <v>5000</v>
      </c>
      <c r="AA13" s="24">
        <v>0</v>
      </c>
      <c r="AB13" s="131"/>
      <c r="AC13" s="131"/>
      <c r="AD13" s="131"/>
      <c r="AE13" s="131"/>
      <c r="AF13" s="131"/>
      <c r="AG13" s="24"/>
    </row>
    <row r="14" s="23" customFormat="1" ht="16" customHeight="1" spans="1:33">
      <c r="A14" s="24" t="s">
        <v>150</v>
      </c>
      <c r="B14" s="143" t="s">
        <v>183</v>
      </c>
      <c r="C14" s="207" t="s">
        <v>152</v>
      </c>
      <c r="D14" s="203" t="s">
        <v>192</v>
      </c>
      <c r="E14" s="71">
        <v>46143</v>
      </c>
      <c r="F14" s="24" t="s">
        <v>35</v>
      </c>
      <c r="G14" s="24">
        <v>75</v>
      </c>
      <c r="H14" s="72">
        <v>2390</v>
      </c>
      <c r="I14" s="72">
        <f t="shared" si="0"/>
        <v>179250</v>
      </c>
      <c r="J14" s="24">
        <f>37.5+37.5</f>
        <v>75</v>
      </c>
      <c r="K14" s="24">
        <f t="shared" si="1"/>
        <v>0</v>
      </c>
      <c r="L14" s="151">
        <f>高科收款!D32</f>
        <v>179250</v>
      </c>
      <c r="M14" s="72">
        <f t="shared" si="2"/>
        <v>0</v>
      </c>
      <c r="N14" s="72">
        <f t="shared" si="4"/>
        <v>0</v>
      </c>
      <c r="O14" s="233">
        <v>0</v>
      </c>
      <c r="P14" s="72">
        <f t="shared" si="5"/>
        <v>0</v>
      </c>
      <c r="Q14" s="24">
        <v>6.87</v>
      </c>
      <c r="R14" s="73">
        <v>16550</v>
      </c>
      <c r="S14" s="73">
        <v>16400</v>
      </c>
      <c r="T14" s="73">
        <f t="shared" si="3"/>
        <v>1241250</v>
      </c>
      <c r="U14" s="51" t="s">
        <v>154</v>
      </c>
      <c r="V14" s="24" t="s">
        <v>155</v>
      </c>
      <c r="W14" s="23" t="s">
        <v>156</v>
      </c>
      <c r="X14" s="233">
        <f>4200*4</f>
        <v>16800</v>
      </c>
      <c r="Y14" s="233">
        <f>50*4</f>
        <v>200</v>
      </c>
      <c r="Z14" s="246">
        <f>4000*4</f>
        <v>16000</v>
      </c>
      <c r="AA14" s="24"/>
      <c r="AB14" s="131"/>
      <c r="AC14" s="131"/>
      <c r="AD14" s="131"/>
      <c r="AE14" s="131"/>
      <c r="AF14" s="131"/>
      <c r="AG14" s="24"/>
    </row>
    <row r="15" s="23" customFormat="1" ht="16" customHeight="1" spans="1:33">
      <c r="A15" s="24" t="s">
        <v>193</v>
      </c>
      <c r="B15" s="143" t="s">
        <v>183</v>
      </c>
      <c r="C15" s="207" t="s">
        <v>194</v>
      </c>
      <c r="D15" s="203" t="s">
        <v>195</v>
      </c>
      <c r="E15" s="71">
        <v>46132</v>
      </c>
      <c r="F15" s="24" t="s">
        <v>196</v>
      </c>
      <c r="G15" s="24">
        <v>34.2</v>
      </c>
      <c r="H15" s="72">
        <v>1860</v>
      </c>
      <c r="I15" s="72">
        <f t="shared" si="0"/>
        <v>63612</v>
      </c>
      <c r="J15" s="24">
        <v>34.2</v>
      </c>
      <c r="K15" s="24">
        <f t="shared" si="1"/>
        <v>0</v>
      </c>
      <c r="L15" s="151">
        <f>高科收款!D14</f>
        <v>63612</v>
      </c>
      <c r="M15" s="72">
        <f t="shared" si="2"/>
        <v>0</v>
      </c>
      <c r="N15" s="72">
        <f t="shared" si="4"/>
        <v>0</v>
      </c>
      <c r="O15" s="233">
        <v>0</v>
      </c>
      <c r="P15" s="72">
        <f t="shared" si="5"/>
        <v>0</v>
      </c>
      <c r="Q15" s="24">
        <v>6.87</v>
      </c>
      <c r="R15" s="73">
        <v>14024</v>
      </c>
      <c r="S15" s="73">
        <v>13700</v>
      </c>
      <c r="T15" s="73">
        <f t="shared" si="3"/>
        <v>479620.8</v>
      </c>
      <c r="U15" s="51" t="s">
        <v>197</v>
      </c>
      <c r="V15" s="24" t="s">
        <v>155</v>
      </c>
      <c r="W15" s="23" t="s">
        <v>198</v>
      </c>
      <c r="X15" s="233">
        <f>300*2</f>
        <v>600</v>
      </c>
      <c r="Y15" s="233">
        <f>35*2</f>
        <v>70</v>
      </c>
      <c r="Z15" s="246">
        <f>4500*2</f>
        <v>9000</v>
      </c>
      <c r="AA15" s="24"/>
      <c r="AB15" s="131"/>
      <c r="AC15" s="131"/>
      <c r="AD15" s="131"/>
      <c r="AE15" s="131"/>
      <c r="AF15" s="131"/>
      <c r="AG15" s="24"/>
    </row>
    <row r="16" s="23" customFormat="1" ht="16" customHeight="1" spans="1:33">
      <c r="A16" s="24" t="s">
        <v>193</v>
      </c>
      <c r="B16" s="143" t="s">
        <v>183</v>
      </c>
      <c r="C16" s="207" t="s">
        <v>194</v>
      </c>
      <c r="D16" s="203" t="s">
        <v>199</v>
      </c>
      <c r="E16" s="71">
        <v>46135</v>
      </c>
      <c r="F16" s="24" t="s">
        <v>196</v>
      </c>
      <c r="G16" s="24">
        <v>17.1</v>
      </c>
      <c r="H16" s="72">
        <v>1930</v>
      </c>
      <c r="I16" s="72">
        <f t="shared" si="0"/>
        <v>33003</v>
      </c>
      <c r="J16" s="24">
        <v>17.1</v>
      </c>
      <c r="K16" s="24">
        <f t="shared" si="1"/>
        <v>0</v>
      </c>
      <c r="L16" s="151">
        <f>高科收款!D15</f>
        <v>33003</v>
      </c>
      <c r="M16" s="72">
        <f t="shared" si="2"/>
        <v>0</v>
      </c>
      <c r="N16" s="72">
        <f t="shared" si="4"/>
        <v>0</v>
      </c>
      <c r="O16" s="233">
        <v>0</v>
      </c>
      <c r="P16" s="72">
        <f t="shared" si="5"/>
        <v>0</v>
      </c>
      <c r="Q16" s="24">
        <v>6.87</v>
      </c>
      <c r="R16" s="73">
        <v>14000</v>
      </c>
      <c r="S16" s="73">
        <v>13700</v>
      </c>
      <c r="T16" s="73">
        <f t="shared" si="3"/>
        <v>239400</v>
      </c>
      <c r="U16" s="51" t="s">
        <v>197</v>
      </c>
      <c r="V16" s="24" t="s">
        <v>155</v>
      </c>
      <c r="W16" s="23" t="s">
        <v>200</v>
      </c>
      <c r="X16" s="233">
        <v>1550</v>
      </c>
      <c r="Y16" s="233">
        <v>35</v>
      </c>
      <c r="Z16" s="246">
        <v>4500</v>
      </c>
      <c r="AA16" s="24"/>
      <c r="AB16" s="131"/>
      <c r="AC16" s="131"/>
      <c r="AD16" s="131"/>
      <c r="AE16" s="131"/>
      <c r="AF16" s="131"/>
      <c r="AG16" s="24"/>
    </row>
    <row r="17" s="23" customFormat="1" ht="16" customHeight="1" spans="1:33">
      <c r="A17" s="24" t="s">
        <v>201</v>
      </c>
      <c r="B17" s="143" t="s">
        <v>183</v>
      </c>
      <c r="C17" s="207" t="s">
        <v>202</v>
      </c>
      <c r="D17" s="203" t="s">
        <v>203</v>
      </c>
      <c r="E17" s="71">
        <v>46138</v>
      </c>
      <c r="F17" s="24" t="s">
        <v>30</v>
      </c>
      <c r="G17" s="24">
        <v>35.84</v>
      </c>
      <c r="H17" s="72">
        <v>2160</v>
      </c>
      <c r="I17" s="72">
        <f t="shared" si="0"/>
        <v>77414.4</v>
      </c>
      <c r="J17" s="24">
        <v>35.84</v>
      </c>
      <c r="K17" s="24">
        <f t="shared" si="1"/>
        <v>0</v>
      </c>
      <c r="L17" s="151">
        <v>77414.4</v>
      </c>
      <c r="M17" s="72">
        <f t="shared" si="2"/>
        <v>0</v>
      </c>
      <c r="N17" s="72">
        <f t="shared" si="4"/>
        <v>0</v>
      </c>
      <c r="O17" s="233">
        <v>0</v>
      </c>
      <c r="P17" s="72">
        <f t="shared" si="5"/>
        <v>0</v>
      </c>
      <c r="Q17" s="24">
        <v>6.89</v>
      </c>
      <c r="R17" s="73">
        <v>16167</v>
      </c>
      <c r="S17" s="73">
        <v>16100</v>
      </c>
      <c r="T17" s="73">
        <f t="shared" si="3"/>
        <v>579425.28</v>
      </c>
      <c r="U17" s="51" t="s">
        <v>204</v>
      </c>
      <c r="V17" s="24" t="s">
        <v>155</v>
      </c>
      <c r="W17" s="23" t="s">
        <v>205</v>
      </c>
      <c r="X17" s="233">
        <v>0</v>
      </c>
      <c r="Y17" s="233">
        <f>43*2</f>
        <v>86</v>
      </c>
      <c r="Z17" s="246">
        <f>4000*2</f>
        <v>8000</v>
      </c>
      <c r="AA17" s="24"/>
      <c r="AB17" s="131">
        <v>96</v>
      </c>
      <c r="AC17" s="131"/>
      <c r="AD17" s="131">
        <v>3</v>
      </c>
      <c r="AE17" s="131">
        <v>390</v>
      </c>
      <c r="AF17" s="131">
        <v>96</v>
      </c>
      <c r="AG17" s="24">
        <v>3</v>
      </c>
    </row>
    <row r="18" s="23" customFormat="1" ht="16" customHeight="1" spans="1:33">
      <c r="A18" s="24" t="s">
        <v>25</v>
      </c>
      <c r="B18" s="143" t="s">
        <v>183</v>
      </c>
      <c r="C18" s="207" t="s">
        <v>206</v>
      </c>
      <c r="D18" s="203" t="s">
        <v>207</v>
      </c>
      <c r="E18" s="71">
        <v>46142</v>
      </c>
      <c r="F18" s="24" t="s">
        <v>35</v>
      </c>
      <c r="G18" s="24">
        <v>1.68</v>
      </c>
      <c r="H18" s="72">
        <v>2780</v>
      </c>
      <c r="I18" s="72">
        <f t="shared" si="0"/>
        <v>4670.4</v>
      </c>
      <c r="J18" s="24">
        <v>1.68</v>
      </c>
      <c r="K18" s="24">
        <f t="shared" si="1"/>
        <v>0</v>
      </c>
      <c r="L18" s="151">
        <v>4670.4</v>
      </c>
      <c r="M18" s="72">
        <f t="shared" si="2"/>
        <v>0</v>
      </c>
      <c r="N18" s="72">
        <f t="shared" si="4"/>
        <v>0</v>
      </c>
      <c r="O18" s="233">
        <v>0</v>
      </c>
      <c r="P18" s="72">
        <f t="shared" si="5"/>
        <v>0</v>
      </c>
      <c r="Q18" s="24">
        <v>6.85</v>
      </c>
      <c r="R18" s="73">
        <v>17750</v>
      </c>
      <c r="S18" s="73">
        <v>17100</v>
      </c>
      <c r="T18" s="73">
        <f t="shared" si="3"/>
        <v>29820</v>
      </c>
      <c r="U18" s="51" t="s">
        <v>185</v>
      </c>
      <c r="V18" s="24" t="s">
        <v>155</v>
      </c>
      <c r="W18" s="23" t="s">
        <v>208</v>
      </c>
      <c r="X18" s="233">
        <v>500</v>
      </c>
      <c r="Y18" s="233">
        <v>10</v>
      </c>
      <c r="Z18" s="246">
        <v>2000</v>
      </c>
      <c r="AA18" s="24"/>
      <c r="AB18" s="131">
        <v>4</v>
      </c>
      <c r="AC18" s="131"/>
      <c r="AD18" s="131"/>
      <c r="AE18" s="131"/>
      <c r="AF18" s="131"/>
      <c r="AG18" s="24"/>
    </row>
    <row r="19" s="23" customFormat="1" ht="16" customHeight="1" spans="1:33">
      <c r="A19" s="24" t="s">
        <v>150</v>
      </c>
      <c r="B19" s="143" t="s">
        <v>151</v>
      </c>
      <c r="C19" s="207" t="s">
        <v>152</v>
      </c>
      <c r="D19" s="203" t="s">
        <v>209</v>
      </c>
      <c r="E19" s="71">
        <v>46175</v>
      </c>
      <c r="F19" s="24" t="s">
        <v>35</v>
      </c>
      <c r="G19" s="24">
        <v>97.92</v>
      </c>
      <c r="H19" s="72">
        <v>3015</v>
      </c>
      <c r="I19" s="72">
        <f t="shared" si="0"/>
        <v>295228.8</v>
      </c>
      <c r="J19" s="24">
        <v>97.92</v>
      </c>
      <c r="K19" s="24">
        <f t="shared" si="1"/>
        <v>0</v>
      </c>
      <c r="L19" s="151">
        <f>高科收款!D21+高科收款!D33</f>
        <v>295228.8</v>
      </c>
      <c r="M19" s="72">
        <f t="shared" si="2"/>
        <v>0</v>
      </c>
      <c r="N19" s="72">
        <f t="shared" si="4"/>
        <v>0</v>
      </c>
      <c r="O19" s="233">
        <v>0</v>
      </c>
      <c r="P19" s="72">
        <f t="shared" si="5"/>
        <v>0</v>
      </c>
      <c r="Q19" s="24">
        <v>6.86</v>
      </c>
      <c r="R19" s="73">
        <v>21110</v>
      </c>
      <c r="S19" s="73">
        <v>20000</v>
      </c>
      <c r="T19" s="73">
        <f t="shared" si="3"/>
        <v>2067091.2</v>
      </c>
      <c r="U19" s="51" t="s">
        <v>185</v>
      </c>
      <c r="V19" s="24" t="s">
        <v>155</v>
      </c>
      <c r="W19" s="23" t="s">
        <v>186</v>
      </c>
      <c r="X19" s="233">
        <f>6*3500</f>
        <v>21000</v>
      </c>
      <c r="Y19" s="233">
        <f>6*50</f>
        <v>300</v>
      </c>
      <c r="Z19" s="246">
        <f>4000*6</f>
        <v>24000</v>
      </c>
      <c r="AA19" s="24"/>
      <c r="AB19" s="131">
        <v>192</v>
      </c>
      <c r="AC19" s="131">
        <v>24</v>
      </c>
      <c r="AD19" s="131">
        <v>6</v>
      </c>
      <c r="AE19" s="131">
        <v>780</v>
      </c>
      <c r="AF19" s="131"/>
      <c r="AG19" s="24"/>
    </row>
    <row r="20" s="23" customFormat="1" ht="16" customHeight="1" spans="1:33">
      <c r="A20" s="24" t="s">
        <v>150</v>
      </c>
      <c r="B20" s="143" t="s">
        <v>173</v>
      </c>
      <c r="C20" s="207" t="s">
        <v>210</v>
      </c>
      <c r="D20" s="203" t="s">
        <v>211</v>
      </c>
      <c r="E20" s="71">
        <v>46149</v>
      </c>
      <c r="F20" s="24" t="s">
        <v>30</v>
      </c>
      <c r="G20" s="24">
        <v>19</v>
      </c>
      <c r="H20" s="72">
        <v>2585</v>
      </c>
      <c r="I20" s="72">
        <f t="shared" si="0"/>
        <v>49115</v>
      </c>
      <c r="J20" s="24">
        <v>19</v>
      </c>
      <c r="K20" s="24">
        <f t="shared" si="1"/>
        <v>0</v>
      </c>
      <c r="L20" s="151">
        <f>高科收款!D28+高科收款!D48</f>
        <v>49115</v>
      </c>
      <c r="M20" s="72">
        <f t="shared" si="2"/>
        <v>0</v>
      </c>
      <c r="N20" s="72">
        <f t="shared" si="4"/>
        <v>0</v>
      </c>
      <c r="O20" s="233">
        <v>0</v>
      </c>
      <c r="P20" s="72">
        <f>P19</f>
        <v>0</v>
      </c>
      <c r="Q20" s="24">
        <v>6.87</v>
      </c>
      <c r="R20" s="73">
        <v>18294</v>
      </c>
      <c r="S20" s="73">
        <v>18000</v>
      </c>
      <c r="T20" s="73">
        <f t="shared" si="3"/>
        <v>347586</v>
      </c>
      <c r="U20" s="51" t="s">
        <v>60</v>
      </c>
      <c r="V20" s="24" t="s">
        <v>155</v>
      </c>
      <c r="W20" s="23" t="s">
        <v>212</v>
      </c>
      <c r="X20" s="233">
        <v>3700</v>
      </c>
      <c r="Y20" s="233">
        <v>50</v>
      </c>
      <c r="Z20" s="246">
        <v>4000</v>
      </c>
      <c r="AA20" s="24"/>
      <c r="AB20" s="131"/>
      <c r="AC20" s="131"/>
      <c r="AD20" s="131"/>
      <c r="AE20" s="131"/>
      <c r="AF20" s="131"/>
      <c r="AG20" s="24"/>
    </row>
    <row r="21" s="23" customFormat="1" ht="16" customHeight="1" spans="1:33">
      <c r="A21" s="24" t="s">
        <v>150</v>
      </c>
      <c r="B21" s="143" t="s">
        <v>151</v>
      </c>
      <c r="C21" s="207" t="s">
        <v>152</v>
      </c>
      <c r="D21" s="203" t="s">
        <v>213</v>
      </c>
      <c r="E21" s="71">
        <v>46203</v>
      </c>
      <c r="F21" s="24" t="s">
        <v>35</v>
      </c>
      <c r="G21" s="24">
        <v>37.5</v>
      </c>
      <c r="H21" s="72">
        <v>2925</v>
      </c>
      <c r="I21" s="72">
        <f t="shared" ref="I21:I58" si="6">G21*H21</f>
        <v>109687.5</v>
      </c>
      <c r="J21" s="24">
        <v>37.5</v>
      </c>
      <c r="K21" s="24">
        <f t="shared" ref="K21:K58" si="7">G21-J21</f>
        <v>0</v>
      </c>
      <c r="L21" s="151">
        <f>高科收款!D27+高科收款!D43</f>
        <v>109687.5</v>
      </c>
      <c r="M21" s="72">
        <f t="shared" ref="M21:M58" si="8">I21-L21</f>
        <v>0</v>
      </c>
      <c r="N21" s="72">
        <f t="shared" si="4"/>
        <v>0</v>
      </c>
      <c r="O21" s="233">
        <v>0</v>
      </c>
      <c r="P21" s="72">
        <f>P3</f>
        <v>0</v>
      </c>
      <c r="Q21" s="24">
        <v>6.81</v>
      </c>
      <c r="R21" s="73">
        <v>20811</v>
      </c>
      <c r="S21" s="73">
        <v>20600</v>
      </c>
      <c r="T21" s="73">
        <f t="shared" ref="T21:T58" si="9">R21*G21</f>
        <v>780412.5</v>
      </c>
      <c r="U21" s="51" t="s">
        <v>154</v>
      </c>
      <c r="V21" s="24"/>
      <c r="X21" s="233"/>
      <c r="Y21" s="233"/>
      <c r="Z21" s="246"/>
      <c r="AA21" s="24"/>
      <c r="AB21" s="131"/>
      <c r="AC21" s="131"/>
      <c r="AD21" s="131"/>
      <c r="AE21" s="131"/>
      <c r="AF21" s="131"/>
      <c r="AG21" s="24"/>
    </row>
    <row r="22" s="23" customFormat="1" ht="16" customHeight="1" spans="1:33">
      <c r="A22" s="24" t="s">
        <v>193</v>
      </c>
      <c r="B22" s="143" t="s">
        <v>183</v>
      </c>
      <c r="C22" s="207" t="s">
        <v>194</v>
      </c>
      <c r="D22" s="203" t="s">
        <v>214</v>
      </c>
      <c r="E22" s="71">
        <v>46156</v>
      </c>
      <c r="F22" s="24" t="s">
        <v>215</v>
      </c>
      <c r="G22" s="24">
        <v>9.6</v>
      </c>
      <c r="H22" s="72">
        <v>2535</v>
      </c>
      <c r="I22" s="72">
        <f t="shared" si="6"/>
        <v>24336</v>
      </c>
      <c r="J22" s="24">
        <v>9.6</v>
      </c>
      <c r="K22" s="24">
        <f t="shared" si="7"/>
        <v>0</v>
      </c>
      <c r="L22" s="151">
        <f>高科收款!D23</f>
        <v>24336</v>
      </c>
      <c r="M22" s="72">
        <f t="shared" si="8"/>
        <v>0</v>
      </c>
      <c r="N22" s="72">
        <f t="shared" si="4"/>
        <v>0</v>
      </c>
      <c r="O22" s="233">
        <v>0</v>
      </c>
      <c r="P22" s="72">
        <f t="shared" ref="P21:P51" si="10">P21</f>
        <v>0</v>
      </c>
      <c r="Q22" s="24">
        <v>6.8</v>
      </c>
      <c r="R22" s="73">
        <v>18370</v>
      </c>
      <c r="S22" s="73">
        <v>18000</v>
      </c>
      <c r="T22" s="73">
        <f t="shared" si="9"/>
        <v>176352</v>
      </c>
      <c r="U22" s="51" t="s">
        <v>216</v>
      </c>
      <c r="V22" s="24" t="s">
        <v>155</v>
      </c>
      <c r="W22" s="23" t="s">
        <v>217</v>
      </c>
      <c r="X22" s="233">
        <v>525</v>
      </c>
      <c r="Y22" s="233">
        <v>27</v>
      </c>
      <c r="Z22" s="246">
        <v>4000</v>
      </c>
      <c r="AA22" s="24"/>
      <c r="AB22" s="131"/>
      <c r="AC22" s="131"/>
      <c r="AD22" s="131"/>
      <c r="AE22" s="131"/>
      <c r="AF22" s="131"/>
      <c r="AG22" s="24"/>
    </row>
    <row r="23" s="23" customFormat="1" ht="16" customHeight="1" spans="1:33">
      <c r="A23" s="24" t="s">
        <v>150</v>
      </c>
      <c r="B23" s="143" t="s">
        <v>183</v>
      </c>
      <c r="C23" s="207" t="s">
        <v>210</v>
      </c>
      <c r="D23" s="203" t="s">
        <v>218</v>
      </c>
      <c r="E23" s="71">
        <v>46203</v>
      </c>
      <c r="F23" s="24" t="s">
        <v>30</v>
      </c>
      <c r="G23" s="24">
        <v>19</v>
      </c>
      <c r="H23" s="72">
        <v>2620</v>
      </c>
      <c r="I23" s="72">
        <f t="shared" si="6"/>
        <v>49780</v>
      </c>
      <c r="J23" s="24">
        <v>19</v>
      </c>
      <c r="K23" s="24">
        <f t="shared" si="7"/>
        <v>0</v>
      </c>
      <c r="L23" s="151">
        <f>高科收款!D65</f>
        <v>49780</v>
      </c>
      <c r="M23" s="72">
        <f t="shared" si="8"/>
        <v>0</v>
      </c>
      <c r="N23" s="72">
        <f t="shared" si="4"/>
        <v>0</v>
      </c>
      <c r="O23" s="233">
        <v>0</v>
      </c>
      <c r="P23" s="72">
        <f t="shared" si="10"/>
        <v>0</v>
      </c>
      <c r="Q23" s="24">
        <v>6.8</v>
      </c>
      <c r="R23" s="73">
        <v>18324</v>
      </c>
      <c r="S23" s="73">
        <v>18000</v>
      </c>
      <c r="T23" s="73">
        <f t="shared" si="9"/>
        <v>348156</v>
      </c>
      <c r="U23" s="51" t="s">
        <v>60</v>
      </c>
      <c r="V23" s="24" t="s">
        <v>155</v>
      </c>
      <c r="W23" s="23" t="s">
        <v>212</v>
      </c>
      <c r="X23" s="233">
        <v>2400</v>
      </c>
      <c r="Y23" s="233">
        <v>50</v>
      </c>
      <c r="Z23" s="246">
        <v>4000</v>
      </c>
      <c r="AA23" s="24"/>
      <c r="AB23" s="131"/>
      <c r="AC23" s="131"/>
      <c r="AD23" s="131"/>
      <c r="AE23" s="131"/>
      <c r="AF23" s="131"/>
      <c r="AG23" s="24"/>
    </row>
    <row r="24" s="23" customFormat="1" ht="16" customHeight="1" spans="1:33">
      <c r="A24" s="24" t="s">
        <v>150</v>
      </c>
      <c r="B24" s="143" t="s">
        <v>183</v>
      </c>
      <c r="C24" s="207" t="s">
        <v>152</v>
      </c>
      <c r="D24" s="203" t="s">
        <v>219</v>
      </c>
      <c r="E24" s="71">
        <v>46188</v>
      </c>
      <c r="F24" s="24" t="s">
        <v>35</v>
      </c>
      <c r="G24" s="24">
        <v>65.28</v>
      </c>
      <c r="H24" s="72">
        <v>2760</v>
      </c>
      <c r="I24" s="72">
        <f t="shared" si="6"/>
        <v>180172.8</v>
      </c>
      <c r="J24" s="24">
        <f>32.64+32.64</f>
        <v>65.28</v>
      </c>
      <c r="K24" s="24">
        <f t="shared" si="7"/>
        <v>0</v>
      </c>
      <c r="L24" s="151">
        <f>高科收款!D50</f>
        <v>180172.8</v>
      </c>
      <c r="M24" s="72">
        <f t="shared" si="8"/>
        <v>0</v>
      </c>
      <c r="N24" s="72">
        <f t="shared" si="4"/>
        <v>0</v>
      </c>
      <c r="O24" s="233">
        <v>0</v>
      </c>
      <c r="P24" s="72">
        <f t="shared" si="10"/>
        <v>0</v>
      </c>
      <c r="Q24" s="24">
        <v>6.79</v>
      </c>
      <c r="R24" s="73">
        <v>18299</v>
      </c>
      <c r="S24" s="73">
        <v>18000</v>
      </c>
      <c r="T24" s="73">
        <f t="shared" si="9"/>
        <v>1194558.72</v>
      </c>
      <c r="U24" s="51" t="s">
        <v>185</v>
      </c>
      <c r="V24" s="24" t="s">
        <v>155</v>
      </c>
      <c r="W24" s="23" t="s">
        <v>186</v>
      </c>
      <c r="X24" s="233">
        <f>4900*3</f>
        <v>14700</v>
      </c>
      <c r="Y24" s="233">
        <f>60*3</f>
        <v>180</v>
      </c>
      <c r="Z24" s="246">
        <f>4500*3</f>
        <v>13500</v>
      </c>
      <c r="AA24" s="24"/>
      <c r="AB24" s="131"/>
      <c r="AC24" s="131"/>
      <c r="AD24" s="131"/>
      <c r="AE24" s="131"/>
      <c r="AF24" s="131"/>
      <c r="AG24" s="24"/>
    </row>
    <row r="25" s="23" customFormat="1" ht="16" customHeight="1" spans="1:33">
      <c r="A25" s="24" t="s">
        <v>25</v>
      </c>
      <c r="B25" s="143" t="s">
        <v>183</v>
      </c>
      <c r="C25" s="207" t="s">
        <v>220</v>
      </c>
      <c r="D25" s="203" t="s">
        <v>221</v>
      </c>
      <c r="E25" s="71">
        <v>46192</v>
      </c>
      <c r="F25" s="24" t="s">
        <v>215</v>
      </c>
      <c r="G25" s="24">
        <v>44.8</v>
      </c>
      <c r="H25" s="72">
        <v>2100</v>
      </c>
      <c r="I25" s="72">
        <f t="shared" si="6"/>
        <v>94080</v>
      </c>
      <c r="J25" s="24">
        <v>44.8</v>
      </c>
      <c r="K25" s="24">
        <f t="shared" si="7"/>
        <v>0</v>
      </c>
      <c r="L25" s="151">
        <f>高科收款!D41</f>
        <v>94060</v>
      </c>
      <c r="M25" s="72">
        <f t="shared" si="8"/>
        <v>20</v>
      </c>
      <c r="N25" s="72">
        <f t="shared" si="4"/>
        <v>20</v>
      </c>
      <c r="O25" s="233">
        <v>0</v>
      </c>
      <c r="P25" s="72">
        <f t="shared" si="10"/>
        <v>0</v>
      </c>
      <c r="Q25" s="24">
        <v>6.79</v>
      </c>
      <c r="R25" s="73">
        <v>15638</v>
      </c>
      <c r="S25" s="73">
        <v>14500</v>
      </c>
      <c r="T25" s="73">
        <f t="shared" si="9"/>
        <v>700582.4</v>
      </c>
      <c r="U25" s="51" t="s">
        <v>222</v>
      </c>
      <c r="V25" s="24" t="s">
        <v>155</v>
      </c>
      <c r="W25" s="23" t="s">
        <v>205</v>
      </c>
      <c r="X25" s="233">
        <f>250*2</f>
        <v>500</v>
      </c>
      <c r="Y25" s="233">
        <f>52*2</f>
        <v>104</v>
      </c>
      <c r="Z25" s="246">
        <f>4500*2</f>
        <v>9000</v>
      </c>
      <c r="AA25" s="24"/>
      <c r="AB25" s="131"/>
      <c r="AC25" s="131"/>
      <c r="AD25" s="131"/>
      <c r="AE25" s="131"/>
      <c r="AF25" s="131"/>
      <c r="AG25" s="24"/>
    </row>
    <row r="26" s="23" customFormat="1" ht="16" customHeight="1" spans="1:33">
      <c r="A26" s="24" t="s">
        <v>25</v>
      </c>
      <c r="B26" s="143" t="s">
        <v>164</v>
      </c>
      <c r="C26" s="207" t="s">
        <v>165</v>
      </c>
      <c r="D26" s="203" t="s">
        <v>223</v>
      </c>
      <c r="E26" s="71">
        <v>46203</v>
      </c>
      <c r="F26" s="24" t="s">
        <v>30</v>
      </c>
      <c r="G26" s="66">
        <v>111.36</v>
      </c>
      <c r="H26" s="72">
        <v>1890</v>
      </c>
      <c r="I26" s="72">
        <f t="shared" si="6"/>
        <v>210470.4</v>
      </c>
      <c r="J26" s="143">
        <f>92.16+19.2</f>
        <v>111.36</v>
      </c>
      <c r="K26" s="24">
        <f t="shared" si="7"/>
        <v>0</v>
      </c>
      <c r="L26" s="151">
        <f>高科收款!D53+高科收款!D44+162544.24-25745.48</f>
        <v>210470.4</v>
      </c>
      <c r="M26" s="72">
        <f t="shared" si="8"/>
        <v>0</v>
      </c>
      <c r="N26" s="72">
        <f t="shared" si="4"/>
        <v>0</v>
      </c>
      <c r="O26" s="233">
        <v>0</v>
      </c>
      <c r="P26" s="72">
        <f t="shared" si="10"/>
        <v>0</v>
      </c>
      <c r="Q26" s="24">
        <v>6.79</v>
      </c>
      <c r="R26" s="73">
        <v>14215</v>
      </c>
      <c r="S26" s="73">
        <v>14000</v>
      </c>
      <c r="T26" s="73">
        <f t="shared" si="9"/>
        <v>1582982.4</v>
      </c>
      <c r="U26" s="51" t="s">
        <v>224</v>
      </c>
      <c r="V26" s="24" t="s">
        <v>168</v>
      </c>
      <c r="W26" s="23" t="s">
        <v>169</v>
      </c>
      <c r="X26" s="233">
        <v>0</v>
      </c>
      <c r="Y26" s="233">
        <v>0</v>
      </c>
      <c r="Z26" s="246">
        <v>0</v>
      </c>
      <c r="AA26" s="24"/>
      <c r="AB26" s="248">
        <v>288</v>
      </c>
      <c r="AC26" s="248">
        <v>24</v>
      </c>
      <c r="AD26" s="248">
        <v>12</v>
      </c>
      <c r="AE26" s="248">
        <v>1536</v>
      </c>
      <c r="AF26" s="248">
        <v>88</v>
      </c>
      <c r="AG26" s="24"/>
    </row>
    <row r="27" s="23" customFormat="1" ht="16" customHeight="1" spans="1:33">
      <c r="A27" s="24" t="s">
        <v>25</v>
      </c>
      <c r="B27" s="143" t="s">
        <v>164</v>
      </c>
      <c r="C27" s="207" t="s">
        <v>165</v>
      </c>
      <c r="D27" s="203" t="s">
        <v>223</v>
      </c>
      <c r="E27" s="71">
        <v>46203</v>
      </c>
      <c r="F27" s="24" t="s">
        <v>30</v>
      </c>
      <c r="G27" s="24">
        <v>19.2</v>
      </c>
      <c r="H27" s="72">
        <v>1890</v>
      </c>
      <c r="I27" s="72">
        <f t="shared" si="6"/>
        <v>36288</v>
      </c>
      <c r="J27" s="24">
        <v>19.2</v>
      </c>
      <c r="K27" s="24">
        <f t="shared" si="7"/>
        <v>0</v>
      </c>
      <c r="L27" s="151">
        <f>高科收款!D81-162544.24</f>
        <v>36288</v>
      </c>
      <c r="M27" s="72">
        <f t="shared" si="8"/>
        <v>0</v>
      </c>
      <c r="N27" s="72">
        <f t="shared" si="4"/>
        <v>0</v>
      </c>
      <c r="O27" s="233">
        <v>0</v>
      </c>
      <c r="P27" s="72">
        <f t="shared" si="10"/>
        <v>0</v>
      </c>
      <c r="Q27" s="24">
        <v>6.79</v>
      </c>
      <c r="R27" s="73">
        <v>14290</v>
      </c>
      <c r="S27" s="73">
        <v>14000</v>
      </c>
      <c r="T27" s="73">
        <f t="shared" si="9"/>
        <v>274368</v>
      </c>
      <c r="U27" s="51" t="s">
        <v>68</v>
      </c>
      <c r="V27" s="24" t="s">
        <v>168</v>
      </c>
      <c r="W27" s="23" t="s">
        <v>169</v>
      </c>
      <c r="X27" s="233">
        <v>0</v>
      </c>
      <c r="Y27" s="233">
        <v>0</v>
      </c>
      <c r="Z27" s="246">
        <v>0</v>
      </c>
      <c r="AA27" s="24"/>
      <c r="AB27" s="248"/>
      <c r="AC27" s="248"/>
      <c r="AD27" s="248"/>
      <c r="AE27" s="248"/>
      <c r="AF27" s="248"/>
      <c r="AG27" s="24"/>
    </row>
    <row r="28" s="23" customFormat="1" ht="16" customHeight="1" spans="1:33">
      <c r="A28" s="24" t="s">
        <v>25</v>
      </c>
      <c r="B28" s="143" t="s">
        <v>164</v>
      </c>
      <c r="C28" s="207" t="s">
        <v>165</v>
      </c>
      <c r="D28" s="203" t="s">
        <v>223</v>
      </c>
      <c r="E28" s="71">
        <v>46203</v>
      </c>
      <c r="F28" s="24" t="s">
        <v>225</v>
      </c>
      <c r="G28" s="24">
        <v>96</v>
      </c>
      <c r="H28" s="72">
        <v>2050</v>
      </c>
      <c r="I28" s="72">
        <f t="shared" si="6"/>
        <v>196800</v>
      </c>
      <c r="J28" s="24">
        <f>38.4+38.4+19.2</f>
        <v>96</v>
      </c>
      <c r="K28" s="24">
        <f t="shared" si="7"/>
        <v>0</v>
      </c>
      <c r="L28" s="151">
        <f>高科收款!D39+25745.48+高科收款!D96</f>
        <v>196707</v>
      </c>
      <c r="M28" s="72">
        <f t="shared" si="8"/>
        <v>93</v>
      </c>
      <c r="N28" s="72">
        <f t="shared" si="4"/>
        <v>93</v>
      </c>
      <c r="O28" s="233">
        <v>0</v>
      </c>
      <c r="P28" s="72">
        <f t="shared" si="10"/>
        <v>0</v>
      </c>
      <c r="Q28" s="24">
        <v>6.79</v>
      </c>
      <c r="R28" s="73">
        <v>15519</v>
      </c>
      <c r="S28" s="73">
        <v>15500</v>
      </c>
      <c r="T28" s="73">
        <f t="shared" si="9"/>
        <v>1489824</v>
      </c>
      <c r="U28" s="51" t="s">
        <v>68</v>
      </c>
      <c r="V28" s="24" t="s">
        <v>168</v>
      </c>
      <c r="W28" s="23" t="s">
        <v>169</v>
      </c>
      <c r="X28" s="233">
        <v>0</v>
      </c>
      <c r="Y28" s="233">
        <v>0</v>
      </c>
      <c r="Z28" s="246">
        <v>0</v>
      </c>
      <c r="AA28" s="24"/>
      <c r="AB28" s="131"/>
      <c r="AC28" s="131"/>
      <c r="AD28" s="131"/>
      <c r="AE28" s="248"/>
      <c r="AF28" s="131"/>
      <c r="AG28" s="24"/>
    </row>
    <row r="29" s="23" customFormat="1" ht="16" customHeight="1" spans="1:33">
      <c r="A29" s="24" t="s">
        <v>201</v>
      </c>
      <c r="B29" s="143" t="s">
        <v>183</v>
      </c>
      <c r="C29" s="207" t="s">
        <v>226</v>
      </c>
      <c r="D29" s="203" t="s">
        <v>227</v>
      </c>
      <c r="E29" s="71">
        <v>46201</v>
      </c>
      <c r="F29" s="24" t="s">
        <v>30</v>
      </c>
      <c r="G29" s="24">
        <v>17.92</v>
      </c>
      <c r="H29" s="72">
        <v>1880</v>
      </c>
      <c r="I29" s="72">
        <f t="shared" si="6"/>
        <v>33689.6</v>
      </c>
      <c r="J29" s="24">
        <v>17.92</v>
      </c>
      <c r="K29" s="24">
        <f t="shared" si="7"/>
        <v>0</v>
      </c>
      <c r="L29" s="151">
        <f>高科收款!D49</f>
        <v>33671.6</v>
      </c>
      <c r="M29" s="72">
        <f t="shared" si="8"/>
        <v>18</v>
      </c>
      <c r="N29" s="72">
        <f t="shared" si="4"/>
        <v>18.0000000000073</v>
      </c>
      <c r="O29" s="233">
        <v>0</v>
      </c>
      <c r="P29" s="72">
        <f t="shared" si="10"/>
        <v>0</v>
      </c>
      <c r="Q29" s="24">
        <v>6.77</v>
      </c>
      <c r="R29" s="73">
        <v>13700</v>
      </c>
      <c r="S29" s="73">
        <v>13500</v>
      </c>
      <c r="T29" s="73">
        <f t="shared" si="9"/>
        <v>245504</v>
      </c>
      <c r="U29" s="51" t="s">
        <v>224</v>
      </c>
      <c r="V29" s="24" t="s">
        <v>155</v>
      </c>
      <c r="W29" s="23" t="s">
        <v>205</v>
      </c>
      <c r="X29" s="233">
        <v>0</v>
      </c>
      <c r="Y29" s="233">
        <v>200</v>
      </c>
      <c r="Z29" s="246">
        <v>37</v>
      </c>
      <c r="AA29" s="24"/>
      <c r="AB29" s="131">
        <v>32</v>
      </c>
      <c r="AC29" s="131"/>
      <c r="AD29" s="131">
        <v>1</v>
      </c>
      <c r="AE29" s="131">
        <v>130</v>
      </c>
      <c r="AF29" s="131">
        <v>32</v>
      </c>
      <c r="AG29" s="24">
        <v>60</v>
      </c>
    </row>
    <row r="30" s="23" customFormat="1" ht="16" customHeight="1" spans="1:33">
      <c r="A30" s="24" t="s">
        <v>150</v>
      </c>
      <c r="B30" s="143" t="s">
        <v>183</v>
      </c>
      <c r="C30" s="207" t="s">
        <v>210</v>
      </c>
      <c r="D30" s="203" t="s">
        <v>228</v>
      </c>
      <c r="E30" s="71">
        <v>46206</v>
      </c>
      <c r="F30" s="24" t="s">
        <v>30</v>
      </c>
      <c r="G30" s="24">
        <v>19</v>
      </c>
      <c r="H30" s="72">
        <v>2620</v>
      </c>
      <c r="I30" s="72">
        <f t="shared" si="6"/>
        <v>49780</v>
      </c>
      <c r="J30" s="24">
        <v>19</v>
      </c>
      <c r="K30" s="24">
        <f t="shared" si="7"/>
        <v>0</v>
      </c>
      <c r="L30" s="151">
        <f>高科收款!D99</f>
        <v>49780</v>
      </c>
      <c r="M30" s="72">
        <f t="shared" si="8"/>
        <v>0</v>
      </c>
      <c r="N30" s="72">
        <f t="shared" si="4"/>
        <v>0</v>
      </c>
      <c r="O30" s="233">
        <v>0</v>
      </c>
      <c r="P30" s="72">
        <f t="shared" si="10"/>
        <v>0</v>
      </c>
      <c r="Q30" s="24">
        <v>6.75</v>
      </c>
      <c r="R30" s="73">
        <v>16589</v>
      </c>
      <c r="S30" s="73">
        <v>13000</v>
      </c>
      <c r="T30" s="73">
        <f t="shared" si="9"/>
        <v>315191</v>
      </c>
      <c r="U30" s="51" t="s">
        <v>60</v>
      </c>
      <c r="V30" s="24" t="s">
        <v>155</v>
      </c>
      <c r="W30" s="23" t="s">
        <v>212</v>
      </c>
      <c r="X30" s="233">
        <v>7600</v>
      </c>
      <c r="Y30" s="233">
        <v>60</v>
      </c>
      <c r="Z30" s="246">
        <v>5500</v>
      </c>
      <c r="AA30" s="24"/>
      <c r="AB30" s="131"/>
      <c r="AC30" s="131"/>
      <c r="AD30" s="131"/>
      <c r="AE30" s="131"/>
      <c r="AF30" s="131"/>
      <c r="AG30" s="24"/>
    </row>
    <row r="31" s="23" customFormat="1" ht="16" customHeight="1" spans="1:33">
      <c r="A31" s="24" t="s">
        <v>25</v>
      </c>
      <c r="B31" s="143" t="s">
        <v>173</v>
      </c>
      <c r="C31" s="207" t="s">
        <v>206</v>
      </c>
      <c r="D31" s="203" t="s">
        <v>229</v>
      </c>
      <c r="E31" s="71">
        <v>46182</v>
      </c>
      <c r="F31" s="24" t="s">
        <v>35</v>
      </c>
      <c r="G31" s="24">
        <v>15.36</v>
      </c>
      <c r="H31" s="72">
        <v>2765</v>
      </c>
      <c r="I31" s="72">
        <f t="shared" si="6"/>
        <v>42470.4</v>
      </c>
      <c r="J31" s="24">
        <v>15.36</v>
      </c>
      <c r="K31" s="24">
        <f t="shared" si="7"/>
        <v>0</v>
      </c>
      <c r="L31" s="151">
        <f>高科收款!D54+高科收款!D103</f>
        <v>42428.4</v>
      </c>
      <c r="M31" s="72">
        <f t="shared" si="8"/>
        <v>42</v>
      </c>
      <c r="N31" s="72">
        <f t="shared" ref="N31:N58" si="11">J31*H31-L31</f>
        <v>42</v>
      </c>
      <c r="O31" s="233">
        <v>0</v>
      </c>
      <c r="P31" s="72">
        <f t="shared" si="10"/>
        <v>0</v>
      </c>
      <c r="Q31" s="24">
        <v>6.75</v>
      </c>
      <c r="R31" s="73">
        <v>17150</v>
      </c>
      <c r="S31" s="73">
        <v>15500</v>
      </c>
      <c r="T31" s="73">
        <f t="shared" si="9"/>
        <v>263424</v>
      </c>
      <c r="U31" s="51" t="s">
        <v>230</v>
      </c>
      <c r="V31" s="24" t="s">
        <v>155</v>
      </c>
      <c r="W31" s="23" t="s">
        <v>208</v>
      </c>
      <c r="X31" s="233">
        <v>6700</v>
      </c>
      <c r="Y31" s="233">
        <v>47</v>
      </c>
      <c r="Z31" s="246">
        <v>5000</v>
      </c>
      <c r="AA31" s="24"/>
      <c r="AB31" s="131">
        <v>32</v>
      </c>
      <c r="AC31" s="131">
        <v>2</v>
      </c>
      <c r="AD31" s="131">
        <v>1</v>
      </c>
      <c r="AE31" s="131">
        <v>64</v>
      </c>
      <c r="AF31" s="131"/>
      <c r="AG31" s="24"/>
    </row>
    <row r="32" s="23" customFormat="1" ht="16" customHeight="1" spans="1:33">
      <c r="A32" s="24" t="s">
        <v>201</v>
      </c>
      <c r="B32" s="143" t="s">
        <v>183</v>
      </c>
      <c r="C32" s="207" t="s">
        <v>231</v>
      </c>
      <c r="D32" s="203" t="s">
        <v>232</v>
      </c>
      <c r="E32" s="71">
        <v>46208</v>
      </c>
      <c r="F32" s="24" t="s">
        <v>225</v>
      </c>
      <c r="G32" s="24">
        <v>1.2</v>
      </c>
      <c r="H32" s="72">
        <v>2060</v>
      </c>
      <c r="I32" s="72">
        <f t="shared" si="6"/>
        <v>2472</v>
      </c>
      <c r="J32" s="24">
        <v>1.2</v>
      </c>
      <c r="K32" s="24">
        <f t="shared" si="7"/>
        <v>0</v>
      </c>
      <c r="L32" s="151">
        <f>高科收款!D52</f>
        <v>2464</v>
      </c>
      <c r="M32" s="72">
        <f t="shared" si="8"/>
        <v>8</v>
      </c>
      <c r="N32" s="72">
        <f t="shared" si="11"/>
        <v>8</v>
      </c>
      <c r="O32" s="233">
        <v>0</v>
      </c>
      <c r="P32" s="72">
        <f t="shared" si="10"/>
        <v>0</v>
      </c>
      <c r="Q32" s="24">
        <v>6.7646</v>
      </c>
      <c r="R32" s="73">
        <v>14640</v>
      </c>
      <c r="S32" s="73">
        <v>14600</v>
      </c>
      <c r="T32" s="73">
        <f t="shared" si="9"/>
        <v>17568</v>
      </c>
      <c r="U32" s="51" t="s">
        <v>167</v>
      </c>
      <c r="V32" s="24" t="s">
        <v>190</v>
      </c>
      <c r="W32" s="23" t="s">
        <v>191</v>
      </c>
      <c r="X32" s="233">
        <v>0</v>
      </c>
      <c r="Y32" s="233">
        <v>0</v>
      </c>
      <c r="Z32" s="246">
        <v>1000</v>
      </c>
      <c r="AA32" s="24"/>
      <c r="AB32" s="131">
        <v>2</v>
      </c>
      <c r="AC32" s="131"/>
      <c r="AD32" s="131"/>
      <c r="AE32" s="131"/>
      <c r="AF32" s="131">
        <v>2</v>
      </c>
      <c r="AG32" s="24"/>
    </row>
    <row r="33" s="23" customFormat="1" ht="16" customHeight="1" spans="1:33">
      <c r="A33" s="24" t="s">
        <v>150</v>
      </c>
      <c r="B33" s="143" t="s">
        <v>183</v>
      </c>
      <c r="C33" s="207" t="s">
        <v>152</v>
      </c>
      <c r="D33" s="203" t="s">
        <v>233</v>
      </c>
      <c r="E33" s="71">
        <v>46211</v>
      </c>
      <c r="F33" s="24" t="s">
        <v>30</v>
      </c>
      <c r="G33" s="24">
        <v>17.92</v>
      </c>
      <c r="H33" s="72">
        <v>1870</v>
      </c>
      <c r="I33" s="72">
        <f t="shared" si="6"/>
        <v>33510.4</v>
      </c>
      <c r="J33" s="24">
        <v>17.92</v>
      </c>
      <c r="K33" s="24">
        <f t="shared" si="7"/>
        <v>0</v>
      </c>
      <c r="L33" s="198">
        <v>33510.4</v>
      </c>
      <c r="M33" s="72">
        <f t="shared" si="8"/>
        <v>0</v>
      </c>
      <c r="N33" s="72">
        <f t="shared" si="11"/>
        <v>0</v>
      </c>
      <c r="O33" s="233">
        <v>0</v>
      </c>
      <c r="P33" s="72">
        <f t="shared" si="10"/>
        <v>0</v>
      </c>
      <c r="Q33" s="24">
        <v>6.77</v>
      </c>
      <c r="R33" s="73">
        <v>13266</v>
      </c>
      <c r="S33" s="73">
        <v>13000</v>
      </c>
      <c r="T33" s="73">
        <f t="shared" si="9"/>
        <v>237726.72</v>
      </c>
      <c r="U33" s="51" t="s">
        <v>216</v>
      </c>
      <c r="V33" s="24" t="s">
        <v>155</v>
      </c>
      <c r="W33" s="23" t="s">
        <v>234</v>
      </c>
      <c r="X33" s="233">
        <f>1050</f>
        <v>1050</v>
      </c>
      <c r="Y33" s="233">
        <f>40</f>
        <v>40</v>
      </c>
      <c r="Z33" s="246">
        <f>5500</f>
        <v>5500</v>
      </c>
      <c r="AA33" s="24"/>
      <c r="AB33" s="131">
        <v>32</v>
      </c>
      <c r="AC33" s="131">
        <v>4</v>
      </c>
      <c r="AD33" s="131">
        <v>1</v>
      </c>
      <c r="AE33" s="131">
        <v>128</v>
      </c>
      <c r="AF33" s="131"/>
      <c r="AG33" s="24"/>
    </row>
    <row r="34" s="23" customFormat="1" ht="16" customHeight="1" spans="1:33">
      <c r="A34" s="24" t="s">
        <v>150</v>
      </c>
      <c r="B34" s="143" t="s">
        <v>183</v>
      </c>
      <c r="C34" s="207" t="s">
        <v>152</v>
      </c>
      <c r="D34" s="203" t="s">
        <v>235</v>
      </c>
      <c r="E34" s="71">
        <v>46211</v>
      </c>
      <c r="F34" s="24" t="s">
        <v>35</v>
      </c>
      <c r="G34" s="24">
        <v>97.92</v>
      </c>
      <c r="H34" s="72">
        <v>2560</v>
      </c>
      <c r="I34" s="72">
        <f t="shared" si="6"/>
        <v>250675.2</v>
      </c>
      <c r="J34" s="24">
        <f>32.64+32.64+32.64</f>
        <v>97.92</v>
      </c>
      <c r="K34" s="24">
        <f t="shared" si="7"/>
        <v>0</v>
      </c>
      <c r="L34" s="198">
        <v>250675.2</v>
      </c>
      <c r="M34" s="72">
        <f t="shared" si="8"/>
        <v>0</v>
      </c>
      <c r="N34" s="72">
        <f t="shared" si="11"/>
        <v>0</v>
      </c>
      <c r="O34" s="233">
        <v>0</v>
      </c>
      <c r="P34" s="72">
        <f t="shared" si="10"/>
        <v>0</v>
      </c>
      <c r="Q34" s="24">
        <v>6.77</v>
      </c>
      <c r="R34" s="73">
        <v>15766</v>
      </c>
      <c r="S34" s="73">
        <v>15500</v>
      </c>
      <c r="T34" s="73">
        <f t="shared" si="9"/>
        <v>1543806.72</v>
      </c>
      <c r="U34" s="51" t="s">
        <v>185</v>
      </c>
      <c r="V34" s="24" t="s">
        <v>155</v>
      </c>
      <c r="W34" s="23" t="s">
        <v>186</v>
      </c>
      <c r="X34" s="233">
        <f>6*6800</f>
        <v>40800</v>
      </c>
      <c r="Y34" s="233">
        <f>6*50</f>
        <v>300</v>
      </c>
      <c r="Z34" s="246">
        <f>6*5500</f>
        <v>33000</v>
      </c>
      <c r="AA34" s="24"/>
      <c r="AB34" s="131">
        <v>192</v>
      </c>
      <c r="AC34" s="131">
        <v>12</v>
      </c>
      <c r="AD34" s="131">
        <v>6</v>
      </c>
      <c r="AE34" s="131">
        <v>384</v>
      </c>
      <c r="AF34" s="131"/>
      <c r="AG34" s="24"/>
    </row>
    <row r="35" s="23" customFormat="1" ht="16" customHeight="1" spans="1:33">
      <c r="A35" s="24" t="s">
        <v>25</v>
      </c>
      <c r="B35" s="143" t="s">
        <v>164</v>
      </c>
      <c r="C35" s="207" t="s">
        <v>165</v>
      </c>
      <c r="D35" s="203" t="s">
        <v>236</v>
      </c>
      <c r="E35" s="71">
        <v>46234</v>
      </c>
      <c r="F35" s="24" t="s">
        <v>30</v>
      </c>
      <c r="G35" s="24">
        <v>168</v>
      </c>
      <c r="H35" s="72">
        <v>1740</v>
      </c>
      <c r="I35" s="72">
        <f t="shared" si="6"/>
        <v>292320</v>
      </c>
      <c r="J35" s="143">
        <f>72+38.4+57.6</f>
        <v>168</v>
      </c>
      <c r="K35" s="24">
        <f t="shared" si="7"/>
        <v>0</v>
      </c>
      <c r="L35" s="151">
        <f>高科收款!D59+高科收款!D83+334368-184026</f>
        <v>292320</v>
      </c>
      <c r="M35" s="72">
        <f t="shared" si="8"/>
        <v>0</v>
      </c>
      <c r="N35" s="72">
        <f t="shared" si="11"/>
        <v>0</v>
      </c>
      <c r="O35" s="233">
        <v>0</v>
      </c>
      <c r="P35" s="72">
        <f t="shared" si="10"/>
        <v>0</v>
      </c>
      <c r="Q35" s="24">
        <v>6.77</v>
      </c>
      <c r="R35" s="73">
        <v>13044</v>
      </c>
      <c r="S35" s="73">
        <v>13000</v>
      </c>
      <c r="T35" s="73">
        <f t="shared" si="9"/>
        <v>2191392</v>
      </c>
      <c r="U35" s="51" t="s">
        <v>237</v>
      </c>
      <c r="V35" s="24" t="s">
        <v>168</v>
      </c>
      <c r="W35" s="23" t="s">
        <v>169</v>
      </c>
      <c r="X35" s="233">
        <v>0</v>
      </c>
      <c r="Y35" s="233">
        <v>0</v>
      </c>
      <c r="Z35" s="246">
        <v>0</v>
      </c>
      <c r="AA35" s="24"/>
      <c r="AB35" s="248">
        <v>320</v>
      </c>
      <c r="AC35" s="248">
        <v>40</v>
      </c>
      <c r="AD35" s="248">
        <v>20</v>
      </c>
      <c r="AE35" s="248">
        <v>2560</v>
      </c>
      <c r="AF35" s="248">
        <v>640</v>
      </c>
      <c r="AG35" s="24"/>
    </row>
    <row r="36" s="23" customFormat="1" ht="16" customHeight="1" spans="1:33">
      <c r="A36" s="24" t="s">
        <v>25</v>
      </c>
      <c r="B36" s="143" t="s">
        <v>164</v>
      </c>
      <c r="C36" s="207" t="s">
        <v>165</v>
      </c>
      <c r="D36" s="203" t="s">
        <v>236</v>
      </c>
      <c r="E36" s="71">
        <v>46234</v>
      </c>
      <c r="F36" s="24" t="s">
        <v>41</v>
      </c>
      <c r="G36" s="24">
        <v>216</v>
      </c>
      <c r="H36" s="72">
        <v>1935</v>
      </c>
      <c r="I36" s="72">
        <f t="shared" si="6"/>
        <v>417960</v>
      </c>
      <c r="J36" s="143">
        <v>216</v>
      </c>
      <c r="K36" s="24">
        <f t="shared" si="7"/>
        <v>0</v>
      </c>
      <c r="L36" s="151">
        <f>184026+高科收款!D106+高科收款!D119</f>
        <v>417856</v>
      </c>
      <c r="M36" s="72">
        <f t="shared" si="8"/>
        <v>104</v>
      </c>
      <c r="N36" s="72">
        <f t="shared" si="11"/>
        <v>104</v>
      </c>
      <c r="O36" s="233">
        <v>0</v>
      </c>
      <c r="P36" s="72">
        <f t="shared" si="10"/>
        <v>0</v>
      </c>
      <c r="Q36" s="24">
        <v>6.77</v>
      </c>
      <c r="R36" s="73">
        <v>14535</v>
      </c>
      <c r="S36" s="73">
        <v>14500</v>
      </c>
      <c r="T36" s="73">
        <f t="shared" si="9"/>
        <v>3139560</v>
      </c>
      <c r="U36" s="51" t="s">
        <v>237</v>
      </c>
      <c r="V36" s="24" t="s">
        <v>168</v>
      </c>
      <c r="W36" s="23" t="s">
        <v>169</v>
      </c>
      <c r="X36" s="233">
        <v>0</v>
      </c>
      <c r="Y36" s="233">
        <v>0</v>
      </c>
      <c r="Z36" s="246">
        <v>0</v>
      </c>
      <c r="AA36" s="24"/>
      <c r="AB36" s="131"/>
      <c r="AC36" s="131"/>
      <c r="AD36" s="131"/>
      <c r="AE36" s="131"/>
      <c r="AF36" s="131"/>
      <c r="AG36" s="24"/>
    </row>
    <row r="37" s="23" customFormat="1" ht="16" customHeight="1" spans="1:33">
      <c r="A37" s="24" t="s">
        <v>37</v>
      </c>
      <c r="B37" s="143" t="s">
        <v>173</v>
      </c>
      <c r="C37" s="207" t="s">
        <v>176</v>
      </c>
      <c r="D37" s="203" t="s">
        <v>238</v>
      </c>
      <c r="E37" s="71">
        <v>46236</v>
      </c>
      <c r="F37" s="24" t="s">
        <v>30</v>
      </c>
      <c r="G37" s="24">
        <v>38.4</v>
      </c>
      <c r="H37" s="72">
        <v>2009</v>
      </c>
      <c r="I37" s="72">
        <f t="shared" si="6"/>
        <v>77145.6</v>
      </c>
      <c r="J37" s="143">
        <v>38.4</v>
      </c>
      <c r="K37" s="24">
        <f t="shared" si="7"/>
        <v>0</v>
      </c>
      <c r="L37" s="151">
        <f>23053.12+高科收款!D128</f>
        <v>77762.88</v>
      </c>
      <c r="M37" s="72">
        <f t="shared" si="8"/>
        <v>-617.279999999999</v>
      </c>
      <c r="N37" s="72">
        <f>高科收款!D72</f>
        <v>23053.12</v>
      </c>
      <c r="O37" s="233">
        <v>0</v>
      </c>
      <c r="P37" s="72">
        <f t="shared" si="10"/>
        <v>0</v>
      </c>
      <c r="Q37" s="24">
        <v>6.77</v>
      </c>
      <c r="R37" s="73">
        <v>12057</v>
      </c>
      <c r="S37" s="73">
        <v>11900</v>
      </c>
      <c r="T37" s="73">
        <f t="shared" si="9"/>
        <v>462988.8</v>
      </c>
      <c r="U37" s="51" t="s">
        <v>237</v>
      </c>
      <c r="V37" s="24" t="s">
        <v>155</v>
      </c>
      <c r="W37" s="23" t="s">
        <v>179</v>
      </c>
      <c r="X37" s="233">
        <f>7090*2</f>
        <v>14180</v>
      </c>
      <c r="Y37" s="233">
        <f>42.3*2</f>
        <v>84.6</v>
      </c>
      <c r="Z37" s="246">
        <f>4000*2</f>
        <v>8000</v>
      </c>
      <c r="AA37" s="24"/>
      <c r="AB37" s="131">
        <v>32</v>
      </c>
      <c r="AC37" s="131">
        <v>4</v>
      </c>
      <c r="AD37" s="131">
        <v>2</v>
      </c>
      <c r="AE37" s="131">
        <v>256</v>
      </c>
      <c r="AF37" s="131">
        <v>64</v>
      </c>
      <c r="AG37" s="24"/>
    </row>
    <row r="38" s="23" customFormat="1" ht="16" customHeight="1" spans="1:33">
      <c r="A38" s="24" t="s">
        <v>150</v>
      </c>
      <c r="B38" s="143" t="s">
        <v>183</v>
      </c>
      <c r="C38" s="207" t="s">
        <v>152</v>
      </c>
      <c r="D38" s="203" t="s">
        <v>239</v>
      </c>
      <c r="E38" s="71">
        <v>46265</v>
      </c>
      <c r="F38" s="24" t="s">
        <v>35</v>
      </c>
      <c r="G38" s="24">
        <v>97.92</v>
      </c>
      <c r="H38" s="72">
        <v>2310</v>
      </c>
      <c r="I38" s="72">
        <f t="shared" si="6"/>
        <v>226195.2</v>
      </c>
      <c r="J38" s="143">
        <f>65.28+32.64</f>
        <v>97.92</v>
      </c>
      <c r="K38" s="24">
        <f t="shared" si="7"/>
        <v>0</v>
      </c>
      <c r="L38" s="151">
        <f>高科收款!D98</f>
        <v>226195.2</v>
      </c>
      <c r="M38" s="72">
        <f t="shared" si="8"/>
        <v>0</v>
      </c>
      <c r="N38" s="72">
        <f t="shared" si="11"/>
        <v>0</v>
      </c>
      <c r="O38" s="233">
        <v>0</v>
      </c>
      <c r="P38" s="72">
        <f t="shared" si="10"/>
        <v>0</v>
      </c>
      <c r="Q38" s="24">
        <v>6.78</v>
      </c>
      <c r="R38" s="73">
        <v>13964</v>
      </c>
      <c r="S38" s="73">
        <v>12500</v>
      </c>
      <c r="T38" s="73">
        <f t="shared" si="9"/>
        <v>1367354.88</v>
      </c>
      <c r="U38" s="51" t="s">
        <v>240</v>
      </c>
      <c r="V38" s="24" t="s">
        <v>155</v>
      </c>
      <c r="W38" s="23" t="s">
        <v>186</v>
      </c>
      <c r="X38" s="233">
        <f>6600*6</f>
        <v>39600</v>
      </c>
      <c r="Y38" s="233">
        <f>60*6</f>
        <v>360</v>
      </c>
      <c r="Z38" s="246">
        <f>5500*6</f>
        <v>33000</v>
      </c>
      <c r="AA38" s="24"/>
      <c r="AB38" s="131">
        <v>192</v>
      </c>
      <c r="AC38" s="131">
        <v>12</v>
      </c>
      <c r="AD38" s="131">
        <v>6</v>
      </c>
      <c r="AE38" s="131">
        <v>384</v>
      </c>
      <c r="AF38" s="131"/>
      <c r="AG38" s="24"/>
    </row>
    <row r="39" s="23" customFormat="1" ht="16" customHeight="1" spans="1:33">
      <c r="A39" s="24" t="s">
        <v>37</v>
      </c>
      <c r="B39" s="143" t="s">
        <v>173</v>
      </c>
      <c r="C39" s="207" t="s">
        <v>188</v>
      </c>
      <c r="D39" s="203" t="s">
        <v>241</v>
      </c>
      <c r="E39" s="71">
        <v>46241</v>
      </c>
      <c r="F39" s="24" t="s">
        <v>35</v>
      </c>
      <c r="G39" s="24">
        <v>16.32</v>
      </c>
      <c r="H39" s="72">
        <v>1725</v>
      </c>
      <c r="I39" s="72">
        <f t="shared" si="6"/>
        <v>28152</v>
      </c>
      <c r="J39" s="143">
        <f>高科出库!E330</f>
        <v>16.32</v>
      </c>
      <c r="K39" s="24">
        <f t="shared" si="7"/>
        <v>0</v>
      </c>
      <c r="L39" s="151">
        <f>高科收款!D84+高科收款!D132</f>
        <v>28102</v>
      </c>
      <c r="M39" s="72">
        <f t="shared" si="8"/>
        <v>50</v>
      </c>
      <c r="N39" s="72">
        <f t="shared" si="11"/>
        <v>50</v>
      </c>
      <c r="O39" s="233">
        <v>0</v>
      </c>
      <c r="P39" s="72">
        <f t="shared" si="10"/>
        <v>0</v>
      </c>
      <c r="Q39" s="24">
        <v>6.78</v>
      </c>
      <c r="R39" s="73">
        <v>12638</v>
      </c>
      <c r="S39" s="73">
        <v>12600</v>
      </c>
      <c r="T39" s="73">
        <f t="shared" si="9"/>
        <v>206252.16</v>
      </c>
      <c r="U39" s="51" t="s">
        <v>230</v>
      </c>
      <c r="V39" s="24" t="s">
        <v>190</v>
      </c>
      <c r="W39" s="23" t="s">
        <v>191</v>
      </c>
      <c r="X39" s="233">
        <f>0</f>
        <v>0</v>
      </c>
      <c r="Y39" s="233">
        <v>0</v>
      </c>
      <c r="Z39" s="246">
        <v>5500</v>
      </c>
      <c r="AA39" s="24"/>
      <c r="AB39" s="131">
        <v>32</v>
      </c>
      <c r="AC39" s="131">
        <v>2</v>
      </c>
      <c r="AD39" s="131">
        <v>1</v>
      </c>
      <c r="AE39" s="131">
        <v>128</v>
      </c>
      <c r="AF39" s="131"/>
      <c r="AG39" s="24"/>
    </row>
    <row r="40" s="23" customFormat="1" ht="15" customHeight="1" spans="1:33">
      <c r="A40" s="24" t="s">
        <v>37</v>
      </c>
      <c r="B40" s="143" t="s">
        <v>173</v>
      </c>
      <c r="C40" s="207" t="s">
        <v>188</v>
      </c>
      <c r="D40" s="203" t="s">
        <v>242</v>
      </c>
      <c r="E40" s="71">
        <v>46248</v>
      </c>
      <c r="F40" s="24" t="s">
        <v>35</v>
      </c>
      <c r="G40" s="24">
        <v>37.5</v>
      </c>
      <c r="H40" s="72">
        <v>1760</v>
      </c>
      <c r="I40" s="72">
        <f t="shared" si="6"/>
        <v>66000</v>
      </c>
      <c r="J40" s="143">
        <v>37.5</v>
      </c>
      <c r="K40" s="24">
        <f t="shared" si="7"/>
        <v>0</v>
      </c>
      <c r="L40" s="151">
        <f>高科收款!D89+高科收款!D148</f>
        <v>65950</v>
      </c>
      <c r="M40" s="72">
        <f t="shared" si="8"/>
        <v>50</v>
      </c>
      <c r="N40" s="72">
        <f t="shared" si="11"/>
        <v>50</v>
      </c>
      <c r="O40" s="233">
        <v>0</v>
      </c>
      <c r="P40" s="72">
        <f t="shared" si="10"/>
        <v>0</v>
      </c>
      <c r="Q40" s="24">
        <v>6.77</v>
      </c>
      <c r="R40" s="73">
        <v>13197</v>
      </c>
      <c r="S40" s="73">
        <v>13100</v>
      </c>
      <c r="T40" s="73">
        <f t="shared" si="9"/>
        <v>494887.5</v>
      </c>
      <c r="U40" s="51" t="s">
        <v>243</v>
      </c>
      <c r="V40" s="24" t="s">
        <v>190</v>
      </c>
      <c r="W40" s="23" t="s">
        <v>191</v>
      </c>
      <c r="X40" s="233">
        <f>0</f>
        <v>0</v>
      </c>
      <c r="Y40" s="233">
        <v>0</v>
      </c>
      <c r="Z40" s="246">
        <f>5000*2</f>
        <v>10000</v>
      </c>
      <c r="AA40" s="24"/>
      <c r="AB40" s="131"/>
      <c r="AC40" s="131"/>
      <c r="AD40" s="131"/>
      <c r="AE40" s="131"/>
      <c r="AF40" s="131"/>
      <c r="AG40" s="24"/>
    </row>
    <row r="41" s="23" customFormat="1" ht="16" customHeight="1" spans="1:33">
      <c r="A41" s="24" t="s">
        <v>150</v>
      </c>
      <c r="B41" s="143" t="s">
        <v>183</v>
      </c>
      <c r="C41" s="207" t="s">
        <v>244</v>
      </c>
      <c r="D41" s="203" t="s">
        <v>245</v>
      </c>
      <c r="E41" s="71">
        <v>46265</v>
      </c>
      <c r="F41" s="24" t="s">
        <v>30</v>
      </c>
      <c r="G41" s="24">
        <v>19</v>
      </c>
      <c r="H41" s="72">
        <v>2060</v>
      </c>
      <c r="I41" s="72">
        <f t="shared" si="6"/>
        <v>39140</v>
      </c>
      <c r="J41" s="143">
        <v>0</v>
      </c>
      <c r="K41" s="24">
        <f t="shared" si="7"/>
        <v>19</v>
      </c>
      <c r="L41" s="151">
        <v>0</v>
      </c>
      <c r="M41" s="72">
        <f t="shared" si="8"/>
        <v>39140</v>
      </c>
      <c r="N41" s="72">
        <f t="shared" si="11"/>
        <v>0</v>
      </c>
      <c r="O41" s="233">
        <v>0</v>
      </c>
      <c r="P41" s="72">
        <f t="shared" si="10"/>
        <v>0</v>
      </c>
      <c r="Q41" s="24">
        <v>6.75</v>
      </c>
      <c r="R41" s="73">
        <v>13024</v>
      </c>
      <c r="S41" s="73">
        <v>13000</v>
      </c>
      <c r="T41" s="73">
        <f t="shared" si="9"/>
        <v>247456</v>
      </c>
      <c r="U41" s="51" t="s">
        <v>60</v>
      </c>
      <c r="V41" s="24" t="s">
        <v>246</v>
      </c>
      <c r="W41" s="23" t="s">
        <v>247</v>
      </c>
      <c r="X41" s="233">
        <v>5900</v>
      </c>
      <c r="Y41" s="233">
        <f>30*G41</f>
        <v>570</v>
      </c>
      <c r="Z41" s="246">
        <v>5500</v>
      </c>
      <c r="AA41" s="24"/>
      <c r="AB41" s="131"/>
      <c r="AC41" s="131"/>
      <c r="AD41" s="131"/>
      <c r="AE41" s="131"/>
      <c r="AF41" s="131"/>
      <c r="AG41" s="24"/>
    </row>
    <row r="42" s="23" customFormat="1" ht="16" customHeight="1" spans="1:33">
      <c r="A42" s="24" t="s">
        <v>150</v>
      </c>
      <c r="B42" s="143" t="s">
        <v>173</v>
      </c>
      <c r="C42" s="207" t="s">
        <v>152</v>
      </c>
      <c r="D42" s="203" t="s">
        <v>248</v>
      </c>
      <c r="E42" s="71">
        <v>46295</v>
      </c>
      <c r="F42" s="24" t="s">
        <v>35</v>
      </c>
      <c r="G42" s="24">
        <v>131.25</v>
      </c>
      <c r="H42" s="72">
        <v>2550</v>
      </c>
      <c r="I42" s="72">
        <f t="shared" si="6"/>
        <v>334687.5</v>
      </c>
      <c r="J42" s="143">
        <v>37.5</v>
      </c>
      <c r="K42" s="24">
        <f t="shared" si="7"/>
        <v>93.75</v>
      </c>
      <c r="L42" s="151">
        <f>高科收款!D109+高科收款!D130</f>
        <v>167343.75</v>
      </c>
      <c r="M42" s="72">
        <f t="shared" si="8"/>
        <v>167343.75</v>
      </c>
      <c r="N42" s="72">
        <f t="shared" si="11"/>
        <v>-71718.75</v>
      </c>
      <c r="O42" s="72">
        <v>0</v>
      </c>
      <c r="P42" s="72">
        <f t="shared" si="10"/>
        <v>0</v>
      </c>
      <c r="Q42" s="24">
        <v>6.76</v>
      </c>
      <c r="R42" s="73">
        <v>16518</v>
      </c>
      <c r="S42" s="73">
        <v>14200</v>
      </c>
      <c r="T42" s="73">
        <f t="shared" si="9"/>
        <v>2167987.5</v>
      </c>
      <c r="U42" s="51" t="s">
        <v>249</v>
      </c>
      <c r="V42" s="24" t="s">
        <v>155</v>
      </c>
      <c r="W42" s="23" t="s">
        <v>156</v>
      </c>
      <c r="X42" s="233">
        <f>6500*7</f>
        <v>45500</v>
      </c>
      <c r="Y42" s="233">
        <f>50*7</f>
        <v>350</v>
      </c>
      <c r="Z42" s="246">
        <f>5000*7</f>
        <v>35000</v>
      </c>
      <c r="AA42" s="24"/>
      <c r="AB42" s="131"/>
      <c r="AC42" s="131"/>
      <c r="AD42" s="131"/>
      <c r="AE42" s="131"/>
      <c r="AF42" s="131"/>
      <c r="AG42" s="24"/>
    </row>
    <row r="43" s="23" customFormat="1" ht="16" customHeight="1" spans="1:33">
      <c r="A43" s="24" t="s">
        <v>201</v>
      </c>
      <c r="B43" s="143" t="s">
        <v>183</v>
      </c>
      <c r="C43" s="207" t="s">
        <v>194</v>
      </c>
      <c r="D43" s="203" t="s">
        <v>250</v>
      </c>
      <c r="E43" s="71">
        <v>46272</v>
      </c>
      <c r="F43" s="24" t="s">
        <v>251</v>
      </c>
      <c r="G43" s="66">
        <v>36.6</v>
      </c>
      <c r="H43" s="72">
        <v>1600</v>
      </c>
      <c r="I43" s="72">
        <f t="shared" si="6"/>
        <v>58560</v>
      </c>
      <c r="J43" s="143">
        <v>36.6</v>
      </c>
      <c r="K43" s="24">
        <f t="shared" si="7"/>
        <v>0</v>
      </c>
      <c r="L43" s="151">
        <f>高科收款!D102+高科收款!D108</f>
        <v>58560</v>
      </c>
      <c r="M43" s="72">
        <f t="shared" si="8"/>
        <v>0</v>
      </c>
      <c r="N43" s="72">
        <f t="shared" si="11"/>
        <v>0</v>
      </c>
      <c r="O43" s="72">
        <v>0</v>
      </c>
      <c r="P43" s="72">
        <f t="shared" si="10"/>
        <v>0</v>
      </c>
      <c r="Q43" s="24">
        <v>6.7355</v>
      </c>
      <c r="R43" s="73">
        <v>11800</v>
      </c>
      <c r="S43" s="73">
        <v>14201</v>
      </c>
      <c r="T43" s="73">
        <f t="shared" si="9"/>
        <v>431880</v>
      </c>
      <c r="U43" s="51" t="s">
        <v>197</v>
      </c>
      <c r="V43" s="24" t="s">
        <v>155</v>
      </c>
      <c r="W43" s="23" t="s">
        <v>198</v>
      </c>
      <c r="X43" s="233">
        <f>200*2</f>
        <v>400</v>
      </c>
      <c r="Y43" s="233">
        <f>32*2</f>
        <v>64</v>
      </c>
      <c r="Z43" s="246">
        <f>4500*2</f>
        <v>9000</v>
      </c>
      <c r="AA43" s="24"/>
      <c r="AB43" s="131"/>
      <c r="AC43" s="131"/>
      <c r="AD43" s="131"/>
      <c r="AE43" s="131"/>
      <c r="AF43" s="131"/>
      <c r="AG43" s="24"/>
    </row>
    <row r="44" s="23" customFormat="1" ht="16" customHeight="1" spans="1:33">
      <c r="A44" s="24" t="s">
        <v>150</v>
      </c>
      <c r="B44" s="143" t="s">
        <v>183</v>
      </c>
      <c r="C44" s="207" t="s">
        <v>152</v>
      </c>
      <c r="D44" s="203" t="s">
        <v>252</v>
      </c>
      <c r="E44" s="71">
        <v>46295</v>
      </c>
      <c r="F44" s="24" t="s">
        <v>35</v>
      </c>
      <c r="G44" s="24">
        <v>65.28</v>
      </c>
      <c r="H44" s="72">
        <v>2270</v>
      </c>
      <c r="I44" s="72">
        <f t="shared" si="6"/>
        <v>148185.6</v>
      </c>
      <c r="J44" s="143">
        <f>32.64+32.64</f>
        <v>65.28</v>
      </c>
      <c r="K44" s="24">
        <f t="shared" si="7"/>
        <v>0</v>
      </c>
      <c r="L44" s="201">
        <v>148185.6</v>
      </c>
      <c r="M44" s="72">
        <f t="shared" si="8"/>
        <v>0</v>
      </c>
      <c r="N44" s="72">
        <f t="shared" si="11"/>
        <v>0</v>
      </c>
      <c r="O44" s="72">
        <v>0</v>
      </c>
      <c r="P44" s="72">
        <f t="shared" si="10"/>
        <v>0</v>
      </c>
      <c r="Q44" s="24">
        <v>6.74</v>
      </c>
      <c r="R44" s="73">
        <v>14169</v>
      </c>
      <c r="S44" s="73">
        <v>13700</v>
      </c>
      <c r="T44" s="73">
        <f t="shared" si="9"/>
        <v>924952.32</v>
      </c>
      <c r="U44" s="51" t="s">
        <v>185</v>
      </c>
      <c r="V44" s="24" t="s">
        <v>155</v>
      </c>
      <c r="W44" s="23" t="s">
        <v>186</v>
      </c>
      <c r="X44" s="233">
        <f>4*5400</f>
        <v>21600</v>
      </c>
      <c r="Y44" s="233">
        <f>4*50</f>
        <v>200</v>
      </c>
      <c r="Z44" s="246">
        <f>4*5000</f>
        <v>20000</v>
      </c>
      <c r="AA44" s="24"/>
      <c r="AB44" s="131">
        <v>128</v>
      </c>
      <c r="AC44" s="131">
        <v>8</v>
      </c>
      <c r="AD44" s="131">
        <v>4</v>
      </c>
      <c r="AE44" s="131">
        <v>256</v>
      </c>
      <c r="AF44" s="131"/>
      <c r="AG44" s="24"/>
    </row>
    <row r="45" s="23" customFormat="1" ht="16" customHeight="1" spans="1:33">
      <c r="A45" s="24" t="s">
        <v>25</v>
      </c>
      <c r="B45" s="143" t="s">
        <v>164</v>
      </c>
      <c r="C45" s="207" t="s">
        <v>165</v>
      </c>
      <c r="D45" s="203" t="s">
        <v>253</v>
      </c>
      <c r="E45" s="71">
        <v>46295</v>
      </c>
      <c r="F45" s="24" t="s">
        <v>30</v>
      </c>
      <c r="G45" s="24">
        <v>76.8</v>
      </c>
      <c r="H45" s="72">
        <v>1670</v>
      </c>
      <c r="I45" s="72">
        <f t="shared" si="6"/>
        <v>128256</v>
      </c>
      <c r="J45" s="143">
        <v>76.8</v>
      </c>
      <c r="K45" s="24">
        <f t="shared" si="7"/>
        <v>0</v>
      </c>
      <c r="L45" s="151">
        <f>高科收款!D107+高科收款!D116</f>
        <v>128230</v>
      </c>
      <c r="M45" s="72">
        <f t="shared" si="8"/>
        <v>26</v>
      </c>
      <c r="N45" s="72">
        <f t="shared" si="11"/>
        <v>26</v>
      </c>
      <c r="O45" s="72">
        <v>0</v>
      </c>
      <c r="P45" s="72">
        <f t="shared" si="10"/>
        <v>0</v>
      </c>
      <c r="Q45" s="24">
        <v>6.7345</v>
      </c>
      <c r="R45" s="73">
        <v>12463</v>
      </c>
      <c r="S45" s="73">
        <v>12300</v>
      </c>
      <c r="T45" s="73">
        <f t="shared" si="9"/>
        <v>957158.4</v>
      </c>
      <c r="U45" s="51" t="s">
        <v>237</v>
      </c>
      <c r="V45" s="24" t="s">
        <v>168</v>
      </c>
      <c r="W45" s="23" t="s">
        <v>169</v>
      </c>
      <c r="X45" s="233">
        <v>0</v>
      </c>
      <c r="Y45" s="233">
        <v>0</v>
      </c>
      <c r="Z45" s="246">
        <v>0</v>
      </c>
      <c r="AA45" s="24"/>
      <c r="AB45" s="131">
        <v>64</v>
      </c>
      <c r="AC45" s="131"/>
      <c r="AD45" s="131">
        <v>4</v>
      </c>
      <c r="AE45" s="131">
        <v>256</v>
      </c>
      <c r="AF45" s="131"/>
      <c r="AG45" s="24"/>
    </row>
    <row r="46" s="137" customFormat="1" ht="16" customHeight="1" spans="1:33">
      <c r="A46" s="66" t="s">
        <v>37</v>
      </c>
      <c r="B46" s="142" t="s">
        <v>183</v>
      </c>
      <c r="C46" s="224" t="s">
        <v>254</v>
      </c>
      <c r="D46" s="225" t="s">
        <v>255</v>
      </c>
      <c r="E46" s="68">
        <v>46279</v>
      </c>
      <c r="F46" s="66" t="s">
        <v>35</v>
      </c>
      <c r="G46" s="66">
        <v>56.25</v>
      </c>
      <c r="H46" s="69">
        <v>1975</v>
      </c>
      <c r="I46" s="69">
        <f t="shared" si="6"/>
        <v>111093.75</v>
      </c>
      <c r="J46" s="142">
        <v>0</v>
      </c>
      <c r="K46" s="66">
        <f t="shared" si="7"/>
        <v>56.25</v>
      </c>
      <c r="L46" s="149">
        <v>0</v>
      </c>
      <c r="M46" s="69">
        <f t="shared" si="8"/>
        <v>111093.75</v>
      </c>
      <c r="N46" s="69">
        <f t="shared" si="11"/>
        <v>0</v>
      </c>
      <c r="O46" s="69">
        <v>0</v>
      </c>
      <c r="P46" s="69">
        <f t="shared" si="10"/>
        <v>0</v>
      </c>
      <c r="Q46" s="66">
        <v>6.73</v>
      </c>
      <c r="R46" s="78">
        <v>14779</v>
      </c>
      <c r="S46" s="78">
        <v>14700</v>
      </c>
      <c r="T46" s="78">
        <f t="shared" si="9"/>
        <v>831318.75</v>
      </c>
      <c r="U46" s="67" t="s">
        <v>243</v>
      </c>
      <c r="V46" s="66" t="s">
        <v>190</v>
      </c>
      <c r="W46" s="137" t="s">
        <v>191</v>
      </c>
      <c r="X46" s="232">
        <f>0</f>
        <v>0</v>
      </c>
      <c r="Y46" s="232">
        <v>0</v>
      </c>
      <c r="Z46" s="244">
        <f>3*4500</f>
        <v>13500</v>
      </c>
      <c r="AA46" s="66"/>
      <c r="AB46" s="245"/>
      <c r="AC46" s="245"/>
      <c r="AD46" s="245"/>
      <c r="AE46" s="245"/>
      <c r="AF46" s="245"/>
      <c r="AG46" s="66"/>
    </row>
    <row r="47" s="23" customFormat="1" ht="16" customHeight="1" spans="1:33">
      <c r="A47" s="24" t="s">
        <v>150</v>
      </c>
      <c r="B47" s="143" t="s">
        <v>183</v>
      </c>
      <c r="C47" s="210" t="s">
        <v>152</v>
      </c>
      <c r="D47" s="203" t="s">
        <v>256</v>
      </c>
      <c r="E47" s="71">
        <v>46284</v>
      </c>
      <c r="F47" s="24" t="s">
        <v>30</v>
      </c>
      <c r="G47" s="24">
        <v>17.92</v>
      </c>
      <c r="H47" s="72">
        <v>1825</v>
      </c>
      <c r="I47" s="72">
        <f t="shared" si="6"/>
        <v>32704</v>
      </c>
      <c r="J47" s="143">
        <v>17.92</v>
      </c>
      <c r="K47" s="24">
        <f t="shared" si="7"/>
        <v>0</v>
      </c>
      <c r="L47" s="201">
        <v>32704</v>
      </c>
      <c r="M47" s="72">
        <f t="shared" si="8"/>
        <v>0</v>
      </c>
      <c r="N47" s="72">
        <f t="shared" si="11"/>
        <v>0</v>
      </c>
      <c r="O47" s="72">
        <v>0</v>
      </c>
      <c r="P47" s="72">
        <f t="shared" si="10"/>
        <v>0</v>
      </c>
      <c r="Q47" s="24">
        <v>6.72</v>
      </c>
      <c r="R47" s="73">
        <v>12871</v>
      </c>
      <c r="S47" s="73">
        <v>12800</v>
      </c>
      <c r="T47" s="73">
        <f t="shared" si="9"/>
        <v>230648.32</v>
      </c>
      <c r="U47" s="51" t="s">
        <v>68</v>
      </c>
      <c r="V47" s="24" t="s">
        <v>155</v>
      </c>
      <c r="W47" s="23" t="s">
        <v>234</v>
      </c>
      <c r="X47" s="72">
        <v>1000</v>
      </c>
      <c r="Y47" s="72">
        <v>40</v>
      </c>
      <c r="Z47" s="73">
        <v>5000</v>
      </c>
      <c r="AA47" s="24"/>
      <c r="AB47" s="131"/>
      <c r="AC47" s="131"/>
      <c r="AD47" s="131"/>
      <c r="AE47" s="131"/>
      <c r="AF47" s="131"/>
      <c r="AG47" s="24"/>
    </row>
    <row r="48" s="23" customFormat="1" ht="32" customHeight="1" spans="1:33">
      <c r="A48" s="24" t="s">
        <v>25</v>
      </c>
      <c r="B48" s="227" t="s">
        <v>257</v>
      </c>
      <c r="C48" s="210" t="s">
        <v>258</v>
      </c>
      <c r="D48" s="203" t="s">
        <v>259</v>
      </c>
      <c r="E48" s="71">
        <v>46295</v>
      </c>
      <c r="F48" s="24" t="s">
        <v>35</v>
      </c>
      <c r="G48" s="24">
        <v>36</v>
      </c>
      <c r="H48" s="72">
        <v>2100</v>
      </c>
      <c r="I48" s="72">
        <f t="shared" si="6"/>
        <v>75600</v>
      </c>
      <c r="J48" s="143">
        <v>36</v>
      </c>
      <c r="K48" s="24">
        <f t="shared" si="7"/>
        <v>0</v>
      </c>
      <c r="L48" s="151">
        <f>高科收款!D118</f>
        <v>11302</v>
      </c>
      <c r="M48" s="72">
        <f t="shared" si="8"/>
        <v>64298</v>
      </c>
      <c r="N48" s="72">
        <f t="shared" si="11"/>
        <v>64298</v>
      </c>
      <c r="O48" s="72">
        <v>0</v>
      </c>
      <c r="P48" s="72">
        <f t="shared" si="10"/>
        <v>0</v>
      </c>
      <c r="Q48" s="24">
        <v>6.71</v>
      </c>
      <c r="R48" s="73">
        <v>15589</v>
      </c>
      <c r="S48" s="73"/>
      <c r="T48" s="73">
        <f t="shared" si="9"/>
        <v>561204</v>
      </c>
      <c r="U48" s="51" t="s">
        <v>243</v>
      </c>
      <c r="V48" s="24" t="s">
        <v>190</v>
      </c>
      <c r="W48" s="23" t="s">
        <v>191</v>
      </c>
      <c r="X48" s="72">
        <f>0</f>
        <v>0</v>
      </c>
      <c r="Y48" s="72">
        <v>0</v>
      </c>
      <c r="Z48" s="73">
        <f>6000*2</f>
        <v>12000</v>
      </c>
      <c r="AA48" s="24"/>
      <c r="AB48" s="131"/>
      <c r="AC48" s="131"/>
      <c r="AD48" s="131"/>
      <c r="AE48" s="131"/>
      <c r="AF48" s="131"/>
      <c r="AG48" s="24"/>
    </row>
    <row r="49" s="23" customFormat="1" ht="16" customHeight="1" spans="1:33">
      <c r="A49" s="24" t="s">
        <v>150</v>
      </c>
      <c r="B49" s="143" t="s">
        <v>183</v>
      </c>
      <c r="C49" s="210" t="s">
        <v>260</v>
      </c>
      <c r="D49" s="203" t="s">
        <v>261</v>
      </c>
      <c r="E49" s="71">
        <v>46297</v>
      </c>
      <c r="F49" s="24" t="s">
        <v>35</v>
      </c>
      <c r="G49" s="24">
        <v>1.92</v>
      </c>
      <c r="H49" s="72">
        <v>2325</v>
      </c>
      <c r="I49" s="72">
        <f t="shared" si="6"/>
        <v>4464</v>
      </c>
      <c r="J49" s="143">
        <v>1.92</v>
      </c>
      <c r="K49" s="24">
        <f t="shared" si="7"/>
        <v>0</v>
      </c>
      <c r="L49" s="151">
        <f>高科收款!D121</f>
        <v>4444</v>
      </c>
      <c r="M49" s="72">
        <f t="shared" si="8"/>
        <v>20</v>
      </c>
      <c r="N49" s="72">
        <f t="shared" si="11"/>
        <v>20</v>
      </c>
      <c r="O49" s="72">
        <v>0</v>
      </c>
      <c r="P49" s="72">
        <f t="shared" si="10"/>
        <v>0</v>
      </c>
      <c r="Q49" s="24">
        <v>6.71</v>
      </c>
      <c r="R49" s="73">
        <v>16272</v>
      </c>
      <c r="S49" s="73">
        <v>16200</v>
      </c>
      <c r="T49" s="73">
        <f t="shared" si="9"/>
        <v>31242.24</v>
      </c>
      <c r="U49" s="51" t="s">
        <v>185</v>
      </c>
      <c r="V49" s="24" t="s">
        <v>155</v>
      </c>
      <c r="W49" s="23" t="s">
        <v>262</v>
      </c>
      <c r="X49" s="72">
        <v>0</v>
      </c>
      <c r="Y49" s="72">
        <v>10</v>
      </c>
      <c r="Z49" s="73">
        <v>2000</v>
      </c>
      <c r="AA49" s="24"/>
      <c r="AB49" s="131">
        <v>4</v>
      </c>
      <c r="AC49" s="131" t="s">
        <v>263</v>
      </c>
      <c r="AD49" s="131" t="s">
        <v>263</v>
      </c>
      <c r="AE49" s="131">
        <v>8</v>
      </c>
      <c r="AF49" s="131"/>
      <c r="AG49" s="24"/>
    </row>
    <row r="50" s="23" customFormat="1" ht="16" customHeight="1" spans="1:33">
      <c r="A50" s="24" t="s">
        <v>25</v>
      </c>
      <c r="B50" s="143" t="s">
        <v>164</v>
      </c>
      <c r="C50" s="210" t="s">
        <v>165</v>
      </c>
      <c r="D50" s="203" t="s">
        <v>264</v>
      </c>
      <c r="E50" s="71">
        <v>46297</v>
      </c>
      <c r="F50" s="24" t="s">
        <v>45</v>
      </c>
      <c r="G50" s="24">
        <v>15.36</v>
      </c>
      <c r="H50" s="72">
        <v>2230</v>
      </c>
      <c r="I50" s="72">
        <f t="shared" si="6"/>
        <v>34252.8</v>
      </c>
      <c r="J50" s="143">
        <v>15.36</v>
      </c>
      <c r="K50" s="24">
        <f t="shared" si="7"/>
        <v>0</v>
      </c>
      <c r="L50" s="151">
        <f>高科收款!D133+高科收款!D150</f>
        <v>9204.56</v>
      </c>
      <c r="M50" s="72">
        <f t="shared" si="8"/>
        <v>25048.24</v>
      </c>
      <c r="N50" s="72">
        <f t="shared" si="11"/>
        <v>25048.24</v>
      </c>
      <c r="O50" s="72">
        <v>0</v>
      </c>
      <c r="P50" s="72">
        <f t="shared" si="10"/>
        <v>0</v>
      </c>
      <c r="Q50" s="24">
        <v>6.71</v>
      </c>
      <c r="R50" s="73">
        <v>16527</v>
      </c>
      <c r="S50" s="73">
        <v>15550</v>
      </c>
      <c r="T50" s="73">
        <f t="shared" si="9"/>
        <v>253854.72</v>
      </c>
      <c r="U50" s="51" t="s">
        <v>265</v>
      </c>
      <c r="V50" s="24" t="s">
        <v>168</v>
      </c>
      <c r="W50" s="23" t="s">
        <v>169</v>
      </c>
      <c r="X50" s="72">
        <v>0</v>
      </c>
      <c r="Y50" s="72">
        <v>0</v>
      </c>
      <c r="Z50" s="73">
        <v>0</v>
      </c>
      <c r="AA50" s="24"/>
      <c r="AB50" s="131">
        <v>16</v>
      </c>
      <c r="AC50" s="131"/>
      <c r="AD50" s="131">
        <v>1</v>
      </c>
      <c r="AE50" s="131">
        <v>64</v>
      </c>
      <c r="AF50" s="131">
        <v>32</v>
      </c>
      <c r="AG50" s="24"/>
    </row>
    <row r="51" s="23" customFormat="1" ht="16" customHeight="1" spans="1:33">
      <c r="A51" s="24" t="s">
        <v>201</v>
      </c>
      <c r="B51" s="143" t="s">
        <v>183</v>
      </c>
      <c r="C51" s="210" t="s">
        <v>202</v>
      </c>
      <c r="D51" s="203" t="s">
        <v>266</v>
      </c>
      <c r="E51" s="71">
        <v>46299</v>
      </c>
      <c r="F51" s="24" t="s">
        <v>35</v>
      </c>
      <c r="G51" s="24">
        <v>0.48</v>
      </c>
      <c r="H51" s="72">
        <v>2780</v>
      </c>
      <c r="I51" s="72">
        <f t="shared" si="6"/>
        <v>1334.4</v>
      </c>
      <c r="J51" s="175">
        <v>0.48</v>
      </c>
      <c r="K51" s="24">
        <f t="shared" si="7"/>
        <v>0</v>
      </c>
      <c r="L51" s="151">
        <f>高科收款!D123</f>
        <v>1334.4</v>
      </c>
      <c r="M51" s="72">
        <f t="shared" si="8"/>
        <v>0</v>
      </c>
      <c r="N51" s="72">
        <f t="shared" si="11"/>
        <v>0</v>
      </c>
      <c r="O51" s="72">
        <v>0</v>
      </c>
      <c r="P51" s="72">
        <f t="shared" si="10"/>
        <v>0</v>
      </c>
      <c r="Q51" s="24">
        <v>6.71</v>
      </c>
      <c r="R51" s="73">
        <v>17520</v>
      </c>
      <c r="S51" s="73">
        <v>16500</v>
      </c>
      <c r="T51" s="73">
        <f t="shared" si="9"/>
        <v>8409.6</v>
      </c>
      <c r="U51" s="51" t="s">
        <v>185</v>
      </c>
      <c r="V51" s="24" t="s">
        <v>155</v>
      </c>
      <c r="W51" s="23" t="s">
        <v>267</v>
      </c>
      <c r="X51" s="72">
        <v>0</v>
      </c>
      <c r="Y51" s="72">
        <v>10</v>
      </c>
      <c r="Z51" s="73">
        <v>1500</v>
      </c>
      <c r="AA51" s="24"/>
      <c r="AB51" s="131">
        <v>1</v>
      </c>
      <c r="AC51" s="131" t="s">
        <v>268</v>
      </c>
      <c r="AD51" s="131" t="s">
        <v>268</v>
      </c>
      <c r="AE51" s="131">
        <v>2</v>
      </c>
      <c r="AF51" s="131"/>
      <c r="AG51" s="24"/>
    </row>
    <row r="52" s="23" customFormat="1" ht="16" customHeight="1" spans="1:33">
      <c r="A52" s="24" t="s">
        <v>150</v>
      </c>
      <c r="B52" s="143" t="s">
        <v>183</v>
      </c>
      <c r="C52" s="210" t="s">
        <v>152</v>
      </c>
      <c r="D52" s="203" t="s">
        <v>269</v>
      </c>
      <c r="E52" s="71">
        <v>46299</v>
      </c>
      <c r="F52" s="24" t="s">
        <v>35</v>
      </c>
      <c r="G52" s="24">
        <v>16.32</v>
      </c>
      <c r="H52" s="72">
        <v>2550</v>
      </c>
      <c r="I52" s="72">
        <f t="shared" si="6"/>
        <v>41616</v>
      </c>
      <c r="J52" s="143">
        <v>16.32</v>
      </c>
      <c r="K52" s="24">
        <f t="shared" si="7"/>
        <v>0</v>
      </c>
      <c r="L52" s="201">
        <v>41616</v>
      </c>
      <c r="M52" s="72">
        <f t="shared" si="8"/>
        <v>0</v>
      </c>
      <c r="N52" s="72">
        <f t="shared" si="11"/>
        <v>0</v>
      </c>
      <c r="O52" s="72">
        <v>0</v>
      </c>
      <c r="P52" s="72">
        <f>P53</f>
        <v>0</v>
      </c>
      <c r="Q52" s="24">
        <v>6.7</v>
      </c>
      <c r="R52" s="73">
        <v>16417</v>
      </c>
      <c r="S52" s="73"/>
      <c r="T52" s="73">
        <f t="shared" si="9"/>
        <v>267925.44</v>
      </c>
      <c r="U52" s="51" t="s">
        <v>185</v>
      </c>
      <c r="V52" s="24" t="s">
        <v>155</v>
      </c>
      <c r="W52" s="23" t="s">
        <v>186</v>
      </c>
      <c r="X52" s="72">
        <v>4500</v>
      </c>
      <c r="Y52" s="72">
        <v>50</v>
      </c>
      <c r="Z52" s="73">
        <v>5000</v>
      </c>
      <c r="AA52" s="24"/>
      <c r="AB52" s="131">
        <v>32</v>
      </c>
      <c r="AC52" s="131">
        <v>2.5</v>
      </c>
      <c r="AD52" s="131">
        <v>1</v>
      </c>
      <c r="AE52" s="131">
        <v>64</v>
      </c>
      <c r="AF52" s="131"/>
      <c r="AG52" s="24"/>
    </row>
    <row r="53" s="23" customFormat="1" ht="13" customHeight="1" spans="1:33">
      <c r="A53" s="24" t="s">
        <v>150</v>
      </c>
      <c r="B53" s="143" t="s">
        <v>183</v>
      </c>
      <c r="C53" s="210" t="s">
        <v>152</v>
      </c>
      <c r="D53" s="203" t="s">
        <v>270</v>
      </c>
      <c r="E53" s="71">
        <v>46299</v>
      </c>
      <c r="F53" s="24" t="s">
        <v>35</v>
      </c>
      <c r="G53" s="24">
        <v>32.64</v>
      </c>
      <c r="H53" s="72">
        <v>2540</v>
      </c>
      <c r="I53" s="72">
        <f t="shared" si="6"/>
        <v>82905.6</v>
      </c>
      <c r="J53" s="143">
        <v>16.32</v>
      </c>
      <c r="K53" s="24">
        <f t="shared" si="7"/>
        <v>16.32</v>
      </c>
      <c r="L53" s="151">
        <v>0</v>
      </c>
      <c r="M53" s="72">
        <f t="shared" si="8"/>
        <v>82905.6</v>
      </c>
      <c r="N53" s="72">
        <f t="shared" si="11"/>
        <v>41452.8</v>
      </c>
      <c r="O53" s="72">
        <v>0</v>
      </c>
      <c r="P53" s="72">
        <f t="shared" ref="P53:P58" si="12">P51</f>
        <v>0</v>
      </c>
      <c r="Q53" s="24">
        <v>6.7</v>
      </c>
      <c r="R53" s="73">
        <v>16509</v>
      </c>
      <c r="S53" s="73"/>
      <c r="T53" s="73">
        <f t="shared" si="9"/>
        <v>538853.76</v>
      </c>
      <c r="U53" s="51" t="s">
        <v>185</v>
      </c>
      <c r="V53" s="24" t="s">
        <v>155</v>
      </c>
      <c r="W53" s="23" t="s">
        <v>186</v>
      </c>
      <c r="X53" s="72">
        <f>4500*2</f>
        <v>9000</v>
      </c>
      <c r="Y53" s="72">
        <f>50*2</f>
        <v>100</v>
      </c>
      <c r="Z53" s="73">
        <f>5000*2</f>
        <v>10000</v>
      </c>
      <c r="AA53" s="24"/>
      <c r="AB53" s="131">
        <v>64</v>
      </c>
      <c r="AC53" s="131">
        <v>5</v>
      </c>
      <c r="AD53" s="131">
        <v>2</v>
      </c>
      <c r="AE53" s="131">
        <v>132</v>
      </c>
      <c r="AF53" s="131"/>
      <c r="AG53" s="24"/>
    </row>
    <row r="54" s="138" customFormat="1" ht="16" customHeight="1" spans="1:34">
      <c r="A54" s="110" t="s">
        <v>25</v>
      </c>
      <c r="B54" s="143" t="s">
        <v>164</v>
      </c>
      <c r="C54" s="228" t="s">
        <v>165</v>
      </c>
      <c r="D54" s="206" t="s">
        <v>271</v>
      </c>
      <c r="E54" s="112">
        <v>46326</v>
      </c>
      <c r="F54" s="110" t="s">
        <v>30</v>
      </c>
      <c r="G54" s="66">
        <v>286.72</v>
      </c>
      <c r="H54" s="79">
        <v>1900</v>
      </c>
      <c r="I54" s="79">
        <f t="shared" si="6"/>
        <v>544768</v>
      </c>
      <c r="J54" s="143">
        <v>286.72</v>
      </c>
      <c r="K54" s="110">
        <f t="shared" si="7"/>
        <v>0</v>
      </c>
      <c r="L54" s="153">
        <v>544768</v>
      </c>
      <c r="M54" s="79">
        <f t="shared" si="8"/>
        <v>0</v>
      </c>
      <c r="N54" s="79">
        <f t="shared" si="11"/>
        <v>0</v>
      </c>
      <c r="O54" s="79">
        <v>0</v>
      </c>
      <c r="P54" s="79">
        <f t="shared" si="12"/>
        <v>0</v>
      </c>
      <c r="Q54" s="110">
        <v>6.7012</v>
      </c>
      <c r="R54" s="113">
        <v>14035</v>
      </c>
      <c r="S54" s="113"/>
      <c r="T54" s="113">
        <f t="shared" si="9"/>
        <v>4024115.2</v>
      </c>
      <c r="U54" s="111" t="s">
        <v>272</v>
      </c>
      <c r="V54" s="110" t="s">
        <v>168</v>
      </c>
      <c r="W54" s="138" t="s">
        <v>169</v>
      </c>
      <c r="X54" s="79">
        <v>0</v>
      </c>
      <c r="Y54" s="79">
        <v>0</v>
      </c>
      <c r="Z54" s="113">
        <v>0</v>
      </c>
      <c r="AA54" s="110"/>
      <c r="AB54" s="249">
        <v>480</v>
      </c>
      <c r="AC54" s="249">
        <v>30</v>
      </c>
      <c r="AD54" s="249">
        <v>30</v>
      </c>
      <c r="AE54" s="249">
        <v>1920</v>
      </c>
      <c r="AF54" s="199">
        <v>960</v>
      </c>
      <c r="AG54" s="110"/>
      <c r="AH54" s="250" t="s">
        <v>273</v>
      </c>
    </row>
    <row r="55" s="138" customFormat="1" ht="16" customHeight="1" spans="1:34">
      <c r="A55" s="110" t="s">
        <v>25</v>
      </c>
      <c r="B55" s="143" t="s">
        <v>164</v>
      </c>
      <c r="C55" s="228" t="s">
        <v>165</v>
      </c>
      <c r="D55" s="206" t="s">
        <v>271</v>
      </c>
      <c r="E55" s="112">
        <v>46326</v>
      </c>
      <c r="F55" s="110" t="s">
        <v>41</v>
      </c>
      <c r="G55" s="110">
        <v>288</v>
      </c>
      <c r="H55" s="79">
        <v>1900</v>
      </c>
      <c r="I55" s="79">
        <f t="shared" si="6"/>
        <v>547200</v>
      </c>
      <c r="J55" s="143">
        <v>288</v>
      </c>
      <c r="K55" s="110">
        <f t="shared" si="7"/>
        <v>0</v>
      </c>
      <c r="L55" s="153">
        <v>547200</v>
      </c>
      <c r="M55" s="79">
        <f t="shared" si="8"/>
        <v>0</v>
      </c>
      <c r="N55" s="79">
        <f t="shared" si="11"/>
        <v>0</v>
      </c>
      <c r="O55" s="79">
        <v>0</v>
      </c>
      <c r="P55" s="79">
        <f t="shared" si="12"/>
        <v>0</v>
      </c>
      <c r="Q55" s="110">
        <v>6.7012</v>
      </c>
      <c r="R55" s="113">
        <v>14035</v>
      </c>
      <c r="S55" s="113"/>
      <c r="T55" s="113">
        <f t="shared" si="9"/>
        <v>4042080</v>
      </c>
      <c r="U55" s="111" t="s">
        <v>272</v>
      </c>
      <c r="V55" s="110" t="s">
        <v>168</v>
      </c>
      <c r="W55" s="138" t="s">
        <v>169</v>
      </c>
      <c r="X55" s="79">
        <v>0</v>
      </c>
      <c r="Y55" s="79">
        <v>0</v>
      </c>
      <c r="Z55" s="113">
        <v>0</v>
      </c>
      <c r="AA55" s="110"/>
      <c r="AB55" s="199"/>
      <c r="AC55" s="199"/>
      <c r="AD55" s="199"/>
      <c r="AE55" s="199"/>
      <c r="AF55" s="199"/>
      <c r="AG55" s="110"/>
      <c r="AH55" s="251"/>
    </row>
    <row r="56" s="138" customFormat="1" ht="16" customHeight="1" spans="1:34">
      <c r="A56" s="110" t="s">
        <v>37</v>
      </c>
      <c r="B56" s="143" t="s">
        <v>173</v>
      </c>
      <c r="C56" s="228" t="s">
        <v>274</v>
      </c>
      <c r="D56" s="206" t="s">
        <v>275</v>
      </c>
      <c r="E56" s="112">
        <v>46318</v>
      </c>
      <c r="F56" s="110" t="s">
        <v>35</v>
      </c>
      <c r="G56" s="110">
        <v>16.32</v>
      </c>
      <c r="H56" s="79">
        <v>2280</v>
      </c>
      <c r="I56" s="79">
        <f t="shared" si="6"/>
        <v>37209.6</v>
      </c>
      <c r="J56" s="143">
        <v>16.32</v>
      </c>
      <c r="K56" s="110">
        <f t="shared" si="7"/>
        <v>0</v>
      </c>
      <c r="L56" s="153">
        <f>高科收款!D147</f>
        <v>11127.87</v>
      </c>
      <c r="M56" s="79">
        <f t="shared" si="8"/>
        <v>26081.73</v>
      </c>
      <c r="N56" s="79">
        <f t="shared" si="11"/>
        <v>26081.73</v>
      </c>
      <c r="O56" s="79">
        <v>0</v>
      </c>
      <c r="P56" s="79">
        <f t="shared" si="12"/>
        <v>0</v>
      </c>
      <c r="Q56" s="110">
        <v>6.69</v>
      </c>
      <c r="R56" s="113">
        <v>16659</v>
      </c>
      <c r="S56" s="113"/>
      <c r="T56" s="113">
        <f t="shared" si="9"/>
        <v>271874.88</v>
      </c>
      <c r="U56" s="111" t="s">
        <v>185</v>
      </c>
      <c r="V56" s="110" t="s">
        <v>190</v>
      </c>
      <c r="W56" s="138" t="s">
        <v>191</v>
      </c>
      <c r="X56" s="79">
        <v>0</v>
      </c>
      <c r="Y56" s="79">
        <v>0</v>
      </c>
      <c r="Z56" s="113">
        <v>5500</v>
      </c>
      <c r="AA56" s="110"/>
      <c r="AB56" s="199"/>
      <c r="AC56" s="199"/>
      <c r="AD56" s="199"/>
      <c r="AE56" s="199"/>
      <c r="AF56" s="199"/>
      <c r="AG56" s="110"/>
      <c r="AH56" s="251"/>
    </row>
    <row r="57" s="138" customFormat="1" ht="16" customHeight="1" spans="1:34">
      <c r="A57" s="110" t="s">
        <v>37</v>
      </c>
      <c r="B57" s="143" t="s">
        <v>173</v>
      </c>
      <c r="C57" s="228" t="s">
        <v>188</v>
      </c>
      <c r="D57" s="206" t="s">
        <v>276</v>
      </c>
      <c r="E57" s="112">
        <v>46340</v>
      </c>
      <c r="F57" s="110" t="s">
        <v>35</v>
      </c>
      <c r="G57" s="110">
        <v>16.32</v>
      </c>
      <c r="H57" s="79">
        <v>2265</v>
      </c>
      <c r="I57" s="79">
        <f t="shared" si="6"/>
        <v>36964.8</v>
      </c>
      <c r="J57" s="187">
        <v>16.32</v>
      </c>
      <c r="K57" s="238">
        <f t="shared" si="7"/>
        <v>0</v>
      </c>
      <c r="L57" s="153">
        <f>高科收款!D151</f>
        <v>11064.44</v>
      </c>
      <c r="M57" s="79">
        <f t="shared" si="8"/>
        <v>25900.36</v>
      </c>
      <c r="N57" s="79">
        <f t="shared" si="11"/>
        <v>25900.36</v>
      </c>
      <c r="O57" s="79">
        <v>0</v>
      </c>
      <c r="P57" s="79">
        <f t="shared" si="12"/>
        <v>0</v>
      </c>
      <c r="Q57" s="110">
        <v>6.674</v>
      </c>
      <c r="R57" s="113">
        <v>16505</v>
      </c>
      <c r="S57" s="113">
        <v>16500</v>
      </c>
      <c r="T57" s="113">
        <f t="shared" si="9"/>
        <v>269361.6</v>
      </c>
      <c r="U57" s="111" t="s">
        <v>185</v>
      </c>
      <c r="V57" s="110" t="s">
        <v>190</v>
      </c>
      <c r="W57" s="138" t="s">
        <v>191</v>
      </c>
      <c r="X57" s="79">
        <v>0</v>
      </c>
      <c r="Y57" s="79">
        <v>0</v>
      </c>
      <c r="Z57" s="113">
        <v>5500</v>
      </c>
      <c r="AA57" s="110"/>
      <c r="AB57" s="199">
        <v>32</v>
      </c>
      <c r="AC57" s="199">
        <v>2</v>
      </c>
      <c r="AD57" s="199">
        <v>1</v>
      </c>
      <c r="AE57" s="199">
        <v>128</v>
      </c>
      <c r="AF57" s="199"/>
      <c r="AG57" s="110"/>
      <c r="AH57" s="251"/>
    </row>
    <row r="58" s="138" customFormat="1" ht="16" customHeight="1" spans="1:34">
      <c r="A58" s="110" t="s">
        <v>150</v>
      </c>
      <c r="B58" s="143" t="s">
        <v>183</v>
      </c>
      <c r="C58" s="228" t="s">
        <v>152</v>
      </c>
      <c r="D58" s="206" t="s">
        <v>277</v>
      </c>
      <c r="E58" s="112">
        <v>46356</v>
      </c>
      <c r="F58" s="110" t="s">
        <v>35</v>
      </c>
      <c r="G58" s="110">
        <v>65.28</v>
      </c>
      <c r="H58" s="79">
        <v>2595</v>
      </c>
      <c r="I58" s="79">
        <f t="shared" si="6"/>
        <v>169401.6</v>
      </c>
      <c r="J58" s="143">
        <v>0</v>
      </c>
      <c r="K58" s="110">
        <f t="shared" si="7"/>
        <v>65.28</v>
      </c>
      <c r="L58" s="153">
        <v>0</v>
      </c>
      <c r="M58" s="79">
        <f t="shared" si="8"/>
        <v>169401.6</v>
      </c>
      <c r="N58" s="79">
        <f t="shared" si="11"/>
        <v>0</v>
      </c>
      <c r="O58" s="79">
        <v>0</v>
      </c>
      <c r="P58" s="79">
        <f t="shared" si="12"/>
        <v>0</v>
      </c>
      <c r="Q58" s="110">
        <v>6.674</v>
      </c>
      <c r="R58" s="113">
        <v>16667</v>
      </c>
      <c r="S58" s="113">
        <v>16500</v>
      </c>
      <c r="T58" s="113">
        <f t="shared" si="9"/>
        <v>1088021.76</v>
      </c>
      <c r="U58" s="111" t="s">
        <v>185</v>
      </c>
      <c r="V58" s="110" t="s">
        <v>155</v>
      </c>
      <c r="W58" s="138" t="s">
        <v>186</v>
      </c>
      <c r="X58" s="79">
        <f>4*4500</f>
        <v>18000</v>
      </c>
      <c r="Y58" s="79">
        <f>4*50</f>
        <v>200</v>
      </c>
      <c r="Z58" s="113">
        <f>4*5000</f>
        <v>20000</v>
      </c>
      <c r="AA58" s="110"/>
      <c r="AB58" s="199">
        <v>106</v>
      </c>
      <c r="AC58" s="199">
        <v>8</v>
      </c>
      <c r="AD58" s="199">
        <v>4</v>
      </c>
      <c r="AE58" s="199">
        <v>256</v>
      </c>
      <c r="AF58" s="199"/>
      <c r="AG58" s="110"/>
      <c r="AH58" s="251"/>
    </row>
  </sheetData>
  <autoFilter xmlns:etc="http://www.wps.cn/officeDocument/2017/etCustomData" ref="A1:AI58" etc:filterBottomFollowUsedRange="0">
    <extLst/>
  </autoFilter>
  <mergeCells count="20">
    <mergeCell ref="AB8:AB9"/>
    <mergeCell ref="AB26:AB28"/>
    <mergeCell ref="AB35:AB36"/>
    <mergeCell ref="AB54:AB55"/>
    <mergeCell ref="AC8:AC9"/>
    <mergeCell ref="AC26:AC28"/>
    <mergeCell ref="AC35:AC36"/>
    <mergeCell ref="AC54:AC55"/>
    <mergeCell ref="AD8:AD9"/>
    <mergeCell ref="AD26:AD28"/>
    <mergeCell ref="AD35:AD36"/>
    <mergeCell ref="AD54:AD55"/>
    <mergeCell ref="AE8:AE9"/>
    <mergeCell ref="AE26:AE28"/>
    <mergeCell ref="AE35:AE36"/>
    <mergeCell ref="AE54:AE55"/>
    <mergeCell ref="AF8:AF9"/>
    <mergeCell ref="AF26:AF28"/>
    <mergeCell ref="AF35:AF36"/>
    <mergeCell ref="AH54:AH5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"/>
  <sheetViews>
    <sheetView topLeftCell="A144" workbookViewId="0">
      <selection activeCell="A154" sqref="$A153:$XFD154"/>
    </sheetView>
  </sheetViews>
  <sheetFormatPr defaultColWidth="9.02654867256637" defaultRowHeight="13.5" outlineLevelCol="6"/>
  <cols>
    <col min="1" max="1" width="13.6902654867257" customWidth="1"/>
    <col min="2" max="2" width="45.4690265486726" style="194" customWidth="1"/>
    <col min="3" max="3" width="22.4424778761062" customWidth="1"/>
    <col min="4" max="4" width="16.6017699115044" customWidth="1"/>
    <col min="5" max="5" width="9.50442477876106" customWidth="1"/>
    <col min="6" max="6" width="15.0088495575221" style="194" customWidth="1"/>
    <col min="7" max="7" width="13.858407079646"/>
  </cols>
  <sheetData>
    <row r="1" spans="1:6">
      <c r="A1" s="42" t="s">
        <v>278</v>
      </c>
      <c r="B1" s="195" t="s">
        <v>279</v>
      </c>
      <c r="C1" s="42" t="s">
        <v>4</v>
      </c>
      <c r="D1" s="42" t="s">
        <v>280</v>
      </c>
      <c r="E1" s="42" t="s">
        <v>1</v>
      </c>
      <c r="F1" s="195" t="s">
        <v>148</v>
      </c>
    </row>
    <row r="2" s="191" customFormat="1" ht="13.85" spans="1:6">
      <c r="A2" s="130">
        <v>46029</v>
      </c>
      <c r="B2" s="51" t="s">
        <v>159</v>
      </c>
      <c r="C2" s="24" t="s">
        <v>160</v>
      </c>
      <c r="D2" s="196">
        <v>10320</v>
      </c>
      <c r="E2" s="131" t="s">
        <v>281</v>
      </c>
      <c r="F2" s="197" t="s">
        <v>282</v>
      </c>
    </row>
    <row r="3" s="191" customFormat="1" ht="13.85" spans="1:6">
      <c r="A3" s="130">
        <v>46029</v>
      </c>
      <c r="B3" s="51" t="s">
        <v>165</v>
      </c>
      <c r="C3" s="24" t="s">
        <v>166</v>
      </c>
      <c r="D3" s="196">
        <v>148236.4</v>
      </c>
      <c r="E3" s="131" t="s">
        <v>281</v>
      </c>
      <c r="F3" s="197" t="s">
        <v>283</v>
      </c>
    </row>
    <row r="4" s="191" customFormat="1" ht="13.85" spans="1:6">
      <c r="A4" s="130">
        <v>46085</v>
      </c>
      <c r="B4" s="51" t="s">
        <v>165</v>
      </c>
      <c r="C4" s="24" t="s">
        <v>166</v>
      </c>
      <c r="D4" s="196">
        <v>593049.6</v>
      </c>
      <c r="E4" s="131" t="s">
        <v>281</v>
      </c>
      <c r="F4" s="197" t="s">
        <v>284</v>
      </c>
    </row>
    <row r="5" s="192" customFormat="1" ht="13.85" spans="1:6">
      <c r="A5" s="193">
        <v>46094</v>
      </c>
      <c r="B5" s="111" t="s">
        <v>159</v>
      </c>
      <c r="C5" s="110" t="s">
        <v>160</v>
      </c>
      <c r="D5" s="198">
        <v>22664</v>
      </c>
      <c r="E5" s="199" t="s">
        <v>281</v>
      </c>
      <c r="F5" s="200" t="s">
        <v>285</v>
      </c>
    </row>
    <row r="6" s="192" customFormat="1" ht="13.85" spans="1:6">
      <c r="A6" s="193">
        <v>46094</v>
      </c>
      <c r="B6" s="111" t="s">
        <v>28</v>
      </c>
      <c r="C6" s="110" t="s">
        <v>29</v>
      </c>
      <c r="D6" s="201">
        <v>4402944</v>
      </c>
      <c r="E6" s="199" t="s">
        <v>281</v>
      </c>
      <c r="F6" s="200" t="s">
        <v>286</v>
      </c>
    </row>
    <row r="7" s="192" customFormat="1" ht="13.85" spans="1:7">
      <c r="A7" s="193">
        <v>46097</v>
      </c>
      <c r="B7" s="111" t="s">
        <v>176</v>
      </c>
      <c r="C7" s="110" t="s">
        <v>177</v>
      </c>
      <c r="D7" s="198">
        <v>79273.83</v>
      </c>
      <c r="E7" s="199" t="s">
        <v>281</v>
      </c>
      <c r="F7" s="200" t="s">
        <v>287</v>
      </c>
      <c r="G7" s="202">
        <v>69835</v>
      </c>
    </row>
    <row r="8" s="192" customFormat="1" ht="13.85" spans="1:7">
      <c r="A8" s="193">
        <v>46100</v>
      </c>
      <c r="B8" s="111" t="s">
        <v>188</v>
      </c>
      <c r="C8" s="110" t="s">
        <v>189</v>
      </c>
      <c r="D8" s="198">
        <v>35666</v>
      </c>
      <c r="E8" s="199" t="s">
        <v>281</v>
      </c>
      <c r="F8" s="200" t="s">
        <v>288</v>
      </c>
      <c r="G8" s="202"/>
    </row>
    <row r="9" s="192" customFormat="1" ht="13.85" spans="1:7">
      <c r="A9" s="193">
        <v>46100</v>
      </c>
      <c r="B9" s="111" t="s">
        <v>33</v>
      </c>
      <c r="C9" s="110" t="s">
        <v>34</v>
      </c>
      <c r="D9" s="201">
        <v>289800</v>
      </c>
      <c r="E9" s="199" t="s">
        <v>281</v>
      </c>
      <c r="F9" s="200" t="s">
        <v>289</v>
      </c>
      <c r="G9" s="202"/>
    </row>
    <row r="10" s="192" customFormat="1" ht="13.85" spans="1:7">
      <c r="A10" s="193">
        <v>46100</v>
      </c>
      <c r="B10" s="111" t="s">
        <v>28</v>
      </c>
      <c r="C10" s="110" t="s">
        <v>29</v>
      </c>
      <c r="D10" s="201">
        <v>5660928</v>
      </c>
      <c r="E10" s="199" t="s">
        <v>281</v>
      </c>
      <c r="F10" s="200" t="s">
        <v>286</v>
      </c>
      <c r="G10" s="202"/>
    </row>
    <row r="11" s="192" customFormat="1" ht="13.85" spans="1:7">
      <c r="A11" s="193">
        <v>46100</v>
      </c>
      <c r="B11" s="111" t="s">
        <v>28</v>
      </c>
      <c r="C11" s="110" t="s">
        <v>40</v>
      </c>
      <c r="D11" s="201">
        <v>160000</v>
      </c>
      <c r="E11" s="199" t="s">
        <v>281</v>
      </c>
      <c r="F11" s="200" t="s">
        <v>290</v>
      </c>
      <c r="G11" s="202"/>
    </row>
    <row r="12" s="192" customFormat="1" ht="13.85" spans="1:7">
      <c r="A12" s="193">
        <v>46104</v>
      </c>
      <c r="B12" s="111" t="s">
        <v>43</v>
      </c>
      <c r="C12" s="110" t="s">
        <v>44</v>
      </c>
      <c r="D12" s="201">
        <v>208800</v>
      </c>
      <c r="E12" s="199" t="s">
        <v>281</v>
      </c>
      <c r="F12" s="200" t="s">
        <v>291</v>
      </c>
      <c r="G12" s="202"/>
    </row>
    <row r="13" s="192" customFormat="1" ht="13.85" spans="1:7">
      <c r="A13" s="193">
        <v>46106</v>
      </c>
      <c r="B13" s="111" t="s">
        <v>48</v>
      </c>
      <c r="C13" s="110" t="s">
        <v>49</v>
      </c>
      <c r="D13" s="201">
        <v>199824</v>
      </c>
      <c r="E13" s="199" t="s">
        <v>281</v>
      </c>
      <c r="F13" s="200" t="s">
        <v>292</v>
      </c>
      <c r="G13" s="202"/>
    </row>
    <row r="14" s="192" customFormat="1" ht="13.85" spans="1:7">
      <c r="A14" s="193">
        <v>46107</v>
      </c>
      <c r="B14" s="111" t="s">
        <v>194</v>
      </c>
      <c r="C14" s="110" t="s">
        <v>195</v>
      </c>
      <c r="D14" s="198">
        <v>63612</v>
      </c>
      <c r="E14" s="199" t="s">
        <v>281</v>
      </c>
      <c r="F14" s="200" t="s">
        <v>293</v>
      </c>
      <c r="G14" s="202"/>
    </row>
    <row r="15" s="192" customFormat="1" ht="13.85" spans="1:7">
      <c r="A15" s="193">
        <v>46107</v>
      </c>
      <c r="B15" s="111" t="s">
        <v>194</v>
      </c>
      <c r="C15" s="110" t="s">
        <v>199</v>
      </c>
      <c r="D15" s="198">
        <v>33003</v>
      </c>
      <c r="E15" s="199" t="s">
        <v>281</v>
      </c>
      <c r="F15" s="200" t="s">
        <v>294</v>
      </c>
      <c r="G15" s="202"/>
    </row>
    <row r="16" s="192" customFormat="1" ht="13.85" spans="1:7">
      <c r="A16" s="193">
        <v>46111</v>
      </c>
      <c r="B16" s="111" t="s">
        <v>206</v>
      </c>
      <c r="C16" s="110" t="s">
        <v>207</v>
      </c>
      <c r="D16" s="198">
        <v>4660.4</v>
      </c>
      <c r="E16" s="199" t="s">
        <v>281</v>
      </c>
      <c r="F16" s="200" t="s">
        <v>295</v>
      </c>
      <c r="G16" s="202"/>
    </row>
    <row r="17" s="192" customFormat="1" ht="13.85" spans="1:7">
      <c r="A17" s="193">
        <v>46111</v>
      </c>
      <c r="B17" s="111" t="s">
        <v>28</v>
      </c>
      <c r="C17" s="110" t="s">
        <v>29</v>
      </c>
      <c r="D17" s="201">
        <v>2515968</v>
      </c>
      <c r="E17" s="199" t="s">
        <v>281</v>
      </c>
      <c r="F17" s="200" t="s">
        <v>286</v>
      </c>
      <c r="G17" s="202"/>
    </row>
    <row r="18" s="192" customFormat="1" ht="13.85" spans="1:7">
      <c r="A18" s="193">
        <v>46113</v>
      </c>
      <c r="B18" s="111" t="s">
        <v>202</v>
      </c>
      <c r="C18" s="110" t="s">
        <v>203</v>
      </c>
      <c r="D18" s="198">
        <v>77414.4</v>
      </c>
      <c r="E18" s="199" t="s">
        <v>281</v>
      </c>
      <c r="F18" s="200" t="s">
        <v>296</v>
      </c>
      <c r="G18" s="202"/>
    </row>
    <row r="19" s="192" customFormat="1" ht="13.85" spans="1:7">
      <c r="A19" s="193">
        <v>46122</v>
      </c>
      <c r="B19" s="111" t="s">
        <v>57</v>
      </c>
      <c r="C19" s="110" t="s">
        <v>58</v>
      </c>
      <c r="D19" s="201">
        <v>787500</v>
      </c>
      <c r="E19" s="199" t="s">
        <v>281</v>
      </c>
      <c r="F19" s="200" t="s">
        <v>297</v>
      </c>
      <c r="G19" s="202"/>
    </row>
    <row r="20" s="192" customFormat="1" ht="13.85" spans="1:7">
      <c r="A20" s="193">
        <v>46122</v>
      </c>
      <c r="B20" s="111" t="s">
        <v>28</v>
      </c>
      <c r="C20" s="110" t="s">
        <v>51</v>
      </c>
      <c r="D20" s="201">
        <v>5635280.64</v>
      </c>
      <c r="E20" s="199" t="s">
        <v>281</v>
      </c>
      <c r="F20" s="200" t="s">
        <v>298</v>
      </c>
      <c r="G20" s="202"/>
    </row>
    <row r="21" s="192" customFormat="1" ht="13.85" spans="1:7">
      <c r="A21" s="193">
        <v>46125</v>
      </c>
      <c r="B21" s="111" t="s">
        <v>152</v>
      </c>
      <c r="C21" s="110" t="s">
        <v>209</v>
      </c>
      <c r="D21" s="198">
        <v>147614.4</v>
      </c>
      <c r="E21" s="199" t="s">
        <v>281</v>
      </c>
      <c r="F21" s="200" t="s">
        <v>299</v>
      </c>
      <c r="G21" s="202"/>
    </row>
    <row r="22" s="192" customFormat="1" ht="13.85" spans="1:7">
      <c r="A22" s="193">
        <v>46127</v>
      </c>
      <c r="B22" s="111" t="s">
        <v>57</v>
      </c>
      <c r="C22" s="110" t="s">
        <v>58</v>
      </c>
      <c r="D22" s="201">
        <v>1575000</v>
      </c>
      <c r="E22" s="199" t="s">
        <v>281</v>
      </c>
      <c r="F22" s="200" t="s">
        <v>297</v>
      </c>
      <c r="G22" s="202"/>
    </row>
    <row r="23" s="192" customFormat="1" ht="13.85" spans="1:7">
      <c r="A23" s="193">
        <v>46128</v>
      </c>
      <c r="B23" s="111" t="s">
        <v>194</v>
      </c>
      <c r="C23" s="110" t="s">
        <v>214</v>
      </c>
      <c r="D23" s="198">
        <v>24336</v>
      </c>
      <c r="E23" s="199" t="s">
        <v>281</v>
      </c>
      <c r="F23" s="200" t="s">
        <v>300</v>
      </c>
      <c r="G23" s="202"/>
    </row>
    <row r="24" s="192" customFormat="1" ht="13.85" spans="1:7">
      <c r="A24" s="193">
        <v>46128</v>
      </c>
      <c r="B24" s="111" t="s">
        <v>194</v>
      </c>
      <c r="C24" s="110"/>
      <c r="D24" s="198">
        <v>80</v>
      </c>
      <c r="E24" s="199" t="s">
        <v>281</v>
      </c>
      <c r="F24" s="200" t="s">
        <v>301</v>
      </c>
      <c r="G24" s="202"/>
    </row>
    <row r="25" s="192" customFormat="1" ht="13.85" spans="1:7">
      <c r="A25" s="193">
        <v>46132</v>
      </c>
      <c r="B25" s="111" t="s">
        <v>152</v>
      </c>
      <c r="C25" s="110" t="s">
        <v>184</v>
      </c>
      <c r="D25" s="198">
        <v>298982.4</v>
      </c>
      <c r="E25" s="199" t="s">
        <v>281</v>
      </c>
      <c r="F25" s="200" t="s">
        <v>302</v>
      </c>
      <c r="G25" s="202"/>
    </row>
    <row r="26" s="192" customFormat="1" ht="13.85" spans="1:7">
      <c r="A26" s="193">
        <v>46132</v>
      </c>
      <c r="B26" s="111" t="s">
        <v>152</v>
      </c>
      <c r="C26" s="110" t="s">
        <v>187</v>
      </c>
      <c r="D26" s="198">
        <v>117748.8</v>
      </c>
      <c r="E26" s="199" t="s">
        <v>281</v>
      </c>
      <c r="F26" s="200" t="s">
        <v>303</v>
      </c>
      <c r="G26" s="202"/>
    </row>
    <row r="27" s="192" customFormat="1" ht="13.85" spans="1:7">
      <c r="A27" s="193">
        <v>46132</v>
      </c>
      <c r="B27" s="111" t="s">
        <v>152</v>
      </c>
      <c r="C27" s="110" t="s">
        <v>213</v>
      </c>
      <c r="D27" s="198">
        <f>109687.5/2</f>
        <v>54843.75</v>
      </c>
      <c r="E27" s="199" t="s">
        <v>281</v>
      </c>
      <c r="F27" s="200" t="s">
        <v>304</v>
      </c>
      <c r="G27" s="202"/>
    </row>
    <row r="28" s="192" customFormat="1" ht="13.85" spans="1:7">
      <c r="A28" s="193">
        <v>46139</v>
      </c>
      <c r="B28" s="111" t="s">
        <v>210</v>
      </c>
      <c r="C28" s="110" t="s">
        <v>211</v>
      </c>
      <c r="D28" s="198">
        <v>14734.5</v>
      </c>
      <c r="E28" s="199" t="s">
        <v>281</v>
      </c>
      <c r="F28" s="200" t="s">
        <v>305</v>
      </c>
      <c r="G28" s="202"/>
    </row>
    <row r="29" s="192" customFormat="1" ht="13.85" spans="1:7">
      <c r="A29" s="193">
        <v>46139</v>
      </c>
      <c r="B29" s="111" t="s">
        <v>57</v>
      </c>
      <c r="C29" s="110" t="s">
        <v>58</v>
      </c>
      <c r="D29" s="201">
        <v>1575000</v>
      </c>
      <c r="E29" s="199" t="s">
        <v>281</v>
      </c>
      <c r="F29" s="200" t="s">
        <v>297</v>
      </c>
      <c r="G29" s="202"/>
    </row>
    <row r="30" s="192" customFormat="1" ht="15" customHeight="1" spans="1:7">
      <c r="A30" s="193">
        <v>46141</v>
      </c>
      <c r="B30" s="111" t="s">
        <v>28</v>
      </c>
      <c r="C30" s="110" t="s">
        <v>53</v>
      </c>
      <c r="D30" s="201">
        <v>787696</v>
      </c>
      <c r="E30" s="199" t="s">
        <v>281</v>
      </c>
      <c r="F30" s="200" t="s">
        <v>306</v>
      </c>
      <c r="G30" s="202"/>
    </row>
    <row r="31" s="192" customFormat="1" ht="15" customHeight="1" spans="1:7">
      <c r="A31" s="193">
        <v>46141</v>
      </c>
      <c r="B31" s="111" t="s">
        <v>28</v>
      </c>
      <c r="C31" s="110" t="s">
        <v>70</v>
      </c>
      <c r="D31" s="201">
        <v>85904</v>
      </c>
      <c r="E31" s="199" t="s">
        <v>281</v>
      </c>
      <c r="F31" s="200" t="s">
        <v>307</v>
      </c>
      <c r="G31" s="202"/>
    </row>
    <row r="32" s="192" customFormat="1" ht="13.85" spans="1:7">
      <c r="A32" s="193">
        <v>46148</v>
      </c>
      <c r="B32" s="111" t="s">
        <v>152</v>
      </c>
      <c r="C32" s="110" t="s">
        <v>192</v>
      </c>
      <c r="D32" s="198">
        <v>179250</v>
      </c>
      <c r="E32" s="199" t="s">
        <v>281</v>
      </c>
      <c r="F32" s="200" t="s">
        <v>308</v>
      </c>
      <c r="G32" s="202"/>
    </row>
    <row r="33" s="192" customFormat="1" ht="13.85" spans="1:7">
      <c r="A33" s="193">
        <v>46148</v>
      </c>
      <c r="B33" s="111" t="s">
        <v>152</v>
      </c>
      <c r="C33" s="110" t="s">
        <v>209</v>
      </c>
      <c r="D33" s="198">
        <v>147614.4</v>
      </c>
      <c r="E33" s="199" t="s">
        <v>281</v>
      </c>
      <c r="F33" s="200" t="s">
        <v>309</v>
      </c>
      <c r="G33" s="202"/>
    </row>
    <row r="34" s="192" customFormat="1" ht="13.85" spans="1:7">
      <c r="A34" s="193">
        <v>46150</v>
      </c>
      <c r="B34" s="111" t="s">
        <v>28</v>
      </c>
      <c r="C34" s="110" t="s">
        <v>51</v>
      </c>
      <c r="D34" s="201">
        <v>3595600</v>
      </c>
      <c r="E34" s="199" t="s">
        <v>281</v>
      </c>
      <c r="F34" s="200" t="s">
        <v>298</v>
      </c>
      <c r="G34" s="202"/>
    </row>
    <row r="35" s="192" customFormat="1" ht="13" customHeight="1" spans="1:7">
      <c r="A35" s="193">
        <v>46151</v>
      </c>
      <c r="B35" s="111" t="s">
        <v>28</v>
      </c>
      <c r="C35" s="110" t="s">
        <v>51</v>
      </c>
      <c r="D35" s="201">
        <v>3000000</v>
      </c>
      <c r="E35" s="199" t="s">
        <v>281</v>
      </c>
      <c r="F35" s="200" t="s">
        <v>298</v>
      </c>
      <c r="G35" s="202"/>
    </row>
    <row r="36" s="192" customFormat="1" ht="13.85" spans="1:7">
      <c r="A36" s="193">
        <v>46153</v>
      </c>
      <c r="B36" s="111" t="s">
        <v>28</v>
      </c>
      <c r="C36" s="110" t="s">
        <v>59</v>
      </c>
      <c r="D36" s="201">
        <v>562400</v>
      </c>
      <c r="E36" s="199" t="s">
        <v>281</v>
      </c>
      <c r="F36" s="200" t="s">
        <v>310</v>
      </c>
      <c r="G36" s="202"/>
    </row>
    <row r="37" s="192" customFormat="1" ht="13.85" spans="1:7">
      <c r="A37" s="193">
        <v>46155</v>
      </c>
      <c r="B37" s="111" t="s">
        <v>61</v>
      </c>
      <c r="C37" s="110" t="s">
        <v>62</v>
      </c>
      <c r="D37" s="201">
        <v>99900</v>
      </c>
      <c r="E37" s="199" t="s">
        <v>281</v>
      </c>
      <c r="F37" s="200" t="s">
        <v>311</v>
      </c>
      <c r="G37" s="202"/>
    </row>
    <row r="38" s="192" customFormat="1" ht="13.85" spans="1:7">
      <c r="A38" s="193">
        <v>46161</v>
      </c>
      <c r="B38" s="111" t="s">
        <v>66</v>
      </c>
      <c r="C38" s="110" t="s">
        <v>67</v>
      </c>
      <c r="D38" s="201">
        <v>1585000</v>
      </c>
      <c r="E38" s="199" t="s">
        <v>281</v>
      </c>
      <c r="F38" s="200" t="s">
        <v>312</v>
      </c>
      <c r="G38" s="202"/>
    </row>
    <row r="39" s="192" customFormat="1" ht="13.85" spans="1:6">
      <c r="A39" s="193">
        <v>46162</v>
      </c>
      <c r="B39" s="111" t="s">
        <v>165</v>
      </c>
      <c r="C39" s="110" t="s">
        <v>223</v>
      </c>
      <c r="D39" s="198">
        <v>13521.52</v>
      </c>
      <c r="E39" s="199" t="s">
        <v>281</v>
      </c>
      <c r="F39" s="200" t="s">
        <v>313</v>
      </c>
    </row>
    <row r="40" s="192" customFormat="1" ht="13.85" spans="1:7">
      <c r="A40" s="193">
        <v>46162</v>
      </c>
      <c r="B40" s="111" t="s">
        <v>176</v>
      </c>
      <c r="C40" s="110" t="s">
        <v>177</v>
      </c>
      <c r="D40" s="198">
        <v>169922.68</v>
      </c>
      <c r="E40" s="199" t="s">
        <v>281</v>
      </c>
      <c r="F40" s="200" t="s">
        <v>287</v>
      </c>
      <c r="G40" s="202">
        <v>147352.08</v>
      </c>
    </row>
    <row r="41" s="192" customFormat="1" ht="13.85" spans="1:6">
      <c r="A41" s="193">
        <v>46162</v>
      </c>
      <c r="B41" s="111" t="s">
        <v>220</v>
      </c>
      <c r="C41" s="110" t="s">
        <v>221</v>
      </c>
      <c r="D41" s="198">
        <v>94060</v>
      </c>
      <c r="E41" s="199" t="s">
        <v>281</v>
      </c>
      <c r="F41" s="200" t="s">
        <v>314</v>
      </c>
    </row>
    <row r="42" s="192" customFormat="1" ht="13.85" spans="1:6">
      <c r="A42" s="193">
        <v>46167</v>
      </c>
      <c r="B42" s="111" t="s">
        <v>188</v>
      </c>
      <c r="C42" s="110" t="s">
        <v>189</v>
      </c>
      <c r="D42" s="198">
        <v>83253</v>
      </c>
      <c r="E42" s="199" t="s">
        <v>281</v>
      </c>
      <c r="F42" s="200" t="s">
        <v>315</v>
      </c>
    </row>
    <row r="43" s="1" customFormat="1" ht="13.85" spans="1:6">
      <c r="A43" s="193">
        <v>46167</v>
      </c>
      <c r="B43" s="111" t="s">
        <v>152</v>
      </c>
      <c r="C43" s="110" t="s">
        <v>213</v>
      </c>
      <c r="D43" s="198">
        <v>54843.75</v>
      </c>
      <c r="E43" s="199" t="s">
        <v>281</v>
      </c>
      <c r="F43" s="200" t="s">
        <v>316</v>
      </c>
    </row>
    <row r="44" s="1" customFormat="1" ht="13.85" spans="1:6">
      <c r="A44" s="193">
        <v>46168</v>
      </c>
      <c r="B44" s="111" t="s">
        <v>165</v>
      </c>
      <c r="C44" s="203" t="s">
        <v>223</v>
      </c>
      <c r="D44" s="198">
        <v>39334</v>
      </c>
      <c r="E44" s="199" t="s">
        <v>281</v>
      </c>
      <c r="F44" s="200" t="s">
        <v>317</v>
      </c>
    </row>
    <row r="45" s="192" customFormat="1" ht="13.85" spans="1:7">
      <c r="A45" s="193">
        <v>46174</v>
      </c>
      <c r="B45" s="111" t="s">
        <v>28</v>
      </c>
      <c r="C45" s="110" t="s">
        <v>70</v>
      </c>
      <c r="D45" s="201">
        <v>288624</v>
      </c>
      <c r="E45" s="199" t="s">
        <v>281</v>
      </c>
      <c r="F45" s="200" t="s">
        <v>307</v>
      </c>
      <c r="G45" s="202"/>
    </row>
    <row r="46" s="192" customFormat="1" ht="13.85" spans="1:7">
      <c r="A46" s="193">
        <v>46174</v>
      </c>
      <c r="B46" s="111" t="s">
        <v>176</v>
      </c>
      <c r="C46" s="110"/>
      <c r="D46" s="201">
        <v>20125.2</v>
      </c>
      <c r="E46" s="199" t="s">
        <v>281</v>
      </c>
      <c r="F46" s="200"/>
      <c r="G46" s="202"/>
    </row>
    <row r="47" s="192" customFormat="1" ht="13.85" spans="1:7">
      <c r="A47" s="193">
        <v>46174</v>
      </c>
      <c r="B47" s="111" t="s">
        <v>66</v>
      </c>
      <c r="C47" s="110" t="s">
        <v>73</v>
      </c>
      <c r="D47" s="201">
        <v>1482000</v>
      </c>
      <c r="E47" s="199" t="s">
        <v>281</v>
      </c>
      <c r="F47" s="200" t="s">
        <v>318</v>
      </c>
      <c r="G47" s="202"/>
    </row>
    <row r="48" s="192" customFormat="1" ht="13.85" spans="1:7">
      <c r="A48" s="193">
        <v>46175</v>
      </c>
      <c r="B48" s="111" t="s">
        <v>210</v>
      </c>
      <c r="C48" s="110" t="s">
        <v>211</v>
      </c>
      <c r="D48" s="198">
        <v>34380.5</v>
      </c>
      <c r="E48" s="199" t="s">
        <v>281</v>
      </c>
      <c r="F48" s="200" t="s">
        <v>319</v>
      </c>
      <c r="G48" s="202"/>
    </row>
    <row r="49" s="192" customFormat="1" ht="13.85" spans="1:7">
      <c r="A49" s="193">
        <v>46176</v>
      </c>
      <c r="B49" s="111" t="s">
        <v>226</v>
      </c>
      <c r="C49" s="110" t="s">
        <v>227</v>
      </c>
      <c r="D49" s="198">
        <v>33671.6</v>
      </c>
      <c r="E49" s="199" t="s">
        <v>281</v>
      </c>
      <c r="F49" s="200" t="s">
        <v>320</v>
      </c>
      <c r="G49" s="202"/>
    </row>
    <row r="50" s="192" customFormat="1" ht="13.85" spans="1:7">
      <c r="A50" s="193">
        <v>46178</v>
      </c>
      <c r="B50" s="111" t="s">
        <v>321</v>
      </c>
      <c r="C50" s="110" t="s">
        <v>219</v>
      </c>
      <c r="D50" s="198">
        <v>180172.8</v>
      </c>
      <c r="E50" s="199" t="s">
        <v>281</v>
      </c>
      <c r="F50" s="200" t="s">
        <v>322</v>
      </c>
      <c r="G50" s="202"/>
    </row>
    <row r="51" s="192" customFormat="1" ht="13.85" spans="1:7">
      <c r="A51" s="193">
        <v>46178</v>
      </c>
      <c r="B51" s="111" t="s">
        <v>28</v>
      </c>
      <c r="C51" s="110" t="s">
        <v>51</v>
      </c>
      <c r="D51" s="201">
        <v>3000000</v>
      </c>
      <c r="E51" s="199" t="s">
        <v>281</v>
      </c>
      <c r="F51" s="200" t="s">
        <v>298</v>
      </c>
      <c r="G51" s="202"/>
    </row>
    <row r="52" s="192" customFormat="1" ht="13.85" spans="1:7">
      <c r="A52" s="193">
        <v>46181</v>
      </c>
      <c r="B52" s="111" t="s">
        <v>231</v>
      </c>
      <c r="C52" s="110" t="s">
        <v>232</v>
      </c>
      <c r="D52" s="198">
        <v>2464</v>
      </c>
      <c r="E52" s="199" t="s">
        <v>281</v>
      </c>
      <c r="F52" s="200" t="s">
        <v>323</v>
      </c>
      <c r="G52" s="202"/>
    </row>
    <row r="53" s="192" customFormat="1" ht="13.85" spans="1:7">
      <c r="A53" s="193">
        <v>46182</v>
      </c>
      <c r="B53" s="111" t="s">
        <v>165</v>
      </c>
      <c r="C53" s="110" t="s">
        <v>223</v>
      </c>
      <c r="D53" s="198">
        <v>34337.64</v>
      </c>
      <c r="E53" s="199" t="s">
        <v>281</v>
      </c>
      <c r="F53" s="200" t="s">
        <v>313</v>
      </c>
      <c r="G53" s="202"/>
    </row>
    <row r="54" s="192" customFormat="1" ht="13.85" spans="1:7">
      <c r="A54" s="193">
        <v>46182</v>
      </c>
      <c r="B54" s="111" t="s">
        <v>206</v>
      </c>
      <c r="C54" s="110" t="s">
        <v>229</v>
      </c>
      <c r="D54" s="198">
        <v>12730.12</v>
      </c>
      <c r="E54" s="199" t="s">
        <v>281</v>
      </c>
      <c r="F54" s="200" t="s">
        <v>324</v>
      </c>
      <c r="G54" s="202"/>
    </row>
    <row r="55" s="192" customFormat="1" ht="13.85" spans="1:7">
      <c r="A55" s="193">
        <v>46183</v>
      </c>
      <c r="B55" s="204" t="s">
        <v>170</v>
      </c>
      <c r="C55" s="203" t="s">
        <v>171</v>
      </c>
      <c r="D55" s="198">
        <v>23960.99</v>
      </c>
      <c r="E55" s="199" t="s">
        <v>281</v>
      </c>
      <c r="F55" s="200" t="s">
        <v>325</v>
      </c>
      <c r="G55" s="202"/>
    </row>
    <row r="56" s="192" customFormat="1" ht="13.85" spans="1:7">
      <c r="A56" s="193">
        <v>46183</v>
      </c>
      <c r="B56" s="204" t="s">
        <v>170</v>
      </c>
      <c r="C56" s="203" t="s">
        <v>174</v>
      </c>
      <c r="D56" s="198">
        <v>50936.99</v>
      </c>
      <c r="E56" s="199" t="s">
        <v>281</v>
      </c>
      <c r="F56" s="200" t="s">
        <v>326</v>
      </c>
      <c r="G56" s="202"/>
    </row>
    <row r="57" s="192" customFormat="1" ht="13.85" spans="1:7">
      <c r="A57" s="193">
        <v>46184</v>
      </c>
      <c r="B57" s="111" t="s">
        <v>43</v>
      </c>
      <c r="C57" s="110" t="s">
        <v>74</v>
      </c>
      <c r="D57" s="201">
        <v>81663</v>
      </c>
      <c r="E57" s="199" t="s">
        <v>281</v>
      </c>
      <c r="F57" s="200" t="s">
        <v>327</v>
      </c>
      <c r="G57" s="202"/>
    </row>
    <row r="58" s="1" customFormat="1" ht="13.85" spans="1:6">
      <c r="A58" s="193">
        <v>46184</v>
      </c>
      <c r="B58" s="204" t="s">
        <v>170</v>
      </c>
      <c r="C58" s="203" t="s">
        <v>174</v>
      </c>
      <c r="D58" s="198">
        <v>44990.21</v>
      </c>
      <c r="E58" s="199" t="s">
        <v>281</v>
      </c>
      <c r="F58" s="200" t="s">
        <v>328</v>
      </c>
    </row>
    <row r="59" s="1" customFormat="1" ht="13.85" spans="1:6">
      <c r="A59" s="193">
        <v>46189</v>
      </c>
      <c r="B59" s="204" t="s">
        <v>165</v>
      </c>
      <c r="C59" s="203" t="s">
        <v>236</v>
      </c>
      <c r="D59" s="198">
        <v>108596</v>
      </c>
      <c r="E59" s="199" t="s">
        <v>281</v>
      </c>
      <c r="F59" s="200" t="s">
        <v>329</v>
      </c>
    </row>
    <row r="60" s="1" customFormat="1" ht="13.85" spans="1:6">
      <c r="A60" s="193">
        <v>46189</v>
      </c>
      <c r="B60" s="204" t="s">
        <v>28</v>
      </c>
      <c r="C60" s="24" t="s">
        <v>78</v>
      </c>
      <c r="D60" s="201">
        <v>23775</v>
      </c>
      <c r="E60" s="199" t="s">
        <v>281</v>
      </c>
      <c r="F60" s="200" t="s">
        <v>330</v>
      </c>
    </row>
    <row r="61" s="1" customFormat="1" ht="13.85" spans="1:6">
      <c r="A61" s="193">
        <v>46189</v>
      </c>
      <c r="B61" s="204" t="s">
        <v>76</v>
      </c>
      <c r="C61" s="203" t="s">
        <v>77</v>
      </c>
      <c r="D61" s="201">
        <v>240128</v>
      </c>
      <c r="E61" s="199" t="s">
        <v>281</v>
      </c>
      <c r="F61" s="200" t="s">
        <v>331</v>
      </c>
    </row>
    <row r="62" s="1" customFormat="1" ht="13.85" spans="1:6">
      <c r="A62" s="193">
        <v>46189</v>
      </c>
      <c r="B62" s="204" t="s">
        <v>170</v>
      </c>
      <c r="C62" s="203" t="s">
        <v>181</v>
      </c>
      <c r="D62" s="198">
        <v>68428.98</v>
      </c>
      <c r="E62" s="199" t="s">
        <v>281</v>
      </c>
      <c r="F62" s="200" t="s">
        <v>332</v>
      </c>
    </row>
    <row r="63" s="1" customFormat="1" ht="13.85" spans="1:6">
      <c r="A63" s="193">
        <v>46191</v>
      </c>
      <c r="B63" s="204" t="s">
        <v>80</v>
      </c>
      <c r="C63" s="203" t="s">
        <v>81</v>
      </c>
      <c r="D63" s="201">
        <v>91000</v>
      </c>
      <c r="E63" s="199" t="s">
        <v>281</v>
      </c>
      <c r="F63" s="200" t="s">
        <v>333</v>
      </c>
    </row>
    <row r="64" s="1" customFormat="1" ht="13.85" spans="1:6">
      <c r="A64" s="193">
        <v>46191</v>
      </c>
      <c r="B64" s="204" t="s">
        <v>28</v>
      </c>
      <c r="C64" s="203" t="s">
        <v>51</v>
      </c>
      <c r="D64" s="201">
        <v>2382009.6</v>
      </c>
      <c r="E64" s="199" t="s">
        <v>281</v>
      </c>
      <c r="F64" s="200" t="s">
        <v>298</v>
      </c>
    </row>
    <row r="65" s="1" customFormat="1" ht="13.85" spans="1:6">
      <c r="A65" s="193">
        <v>46198</v>
      </c>
      <c r="B65" s="204" t="s">
        <v>210</v>
      </c>
      <c r="C65" s="203" t="s">
        <v>218</v>
      </c>
      <c r="D65" s="198">
        <v>49780</v>
      </c>
      <c r="E65" s="199" t="s">
        <v>281</v>
      </c>
      <c r="F65" s="200" t="s">
        <v>334</v>
      </c>
    </row>
    <row r="66" s="1" customFormat="1" ht="13.85" spans="1:6">
      <c r="A66" s="193">
        <v>46203</v>
      </c>
      <c r="B66" s="204" t="s">
        <v>28</v>
      </c>
      <c r="C66" s="203" t="s">
        <v>83</v>
      </c>
      <c r="D66" s="201">
        <v>452816</v>
      </c>
      <c r="E66" s="199" t="s">
        <v>281</v>
      </c>
      <c r="F66" s="200" t="s">
        <v>335</v>
      </c>
    </row>
    <row r="67" s="1" customFormat="1" ht="13.85" spans="1:6">
      <c r="A67" s="193">
        <v>46203</v>
      </c>
      <c r="B67" s="204" t="s">
        <v>28</v>
      </c>
      <c r="C67" s="203" t="s">
        <v>83</v>
      </c>
      <c r="D67" s="201">
        <v>288624</v>
      </c>
      <c r="E67" s="199" t="s">
        <v>281</v>
      </c>
      <c r="F67" s="200" t="s">
        <v>335</v>
      </c>
    </row>
    <row r="68" s="1" customFormat="1" ht="13.85" spans="1:6">
      <c r="A68" s="193">
        <v>46204</v>
      </c>
      <c r="B68" s="204" t="s">
        <v>28</v>
      </c>
      <c r="C68" s="203" t="s">
        <v>83</v>
      </c>
      <c r="D68" s="201">
        <v>2000000</v>
      </c>
      <c r="E68" s="199" t="s">
        <v>281</v>
      </c>
      <c r="F68" s="200" t="s">
        <v>335</v>
      </c>
    </row>
    <row r="69" s="1" customFormat="1" ht="13.85" spans="1:6">
      <c r="A69" s="193">
        <v>46206</v>
      </c>
      <c r="B69" s="204" t="s">
        <v>28</v>
      </c>
      <c r="C69" s="203" t="s">
        <v>83</v>
      </c>
      <c r="D69" s="201">
        <v>500000</v>
      </c>
      <c r="E69" s="199" t="s">
        <v>281</v>
      </c>
      <c r="F69" s="200" t="s">
        <v>335</v>
      </c>
    </row>
    <row r="70" s="1" customFormat="1" ht="13.85" spans="1:6">
      <c r="A70" s="193">
        <v>46210</v>
      </c>
      <c r="B70" s="204" t="s">
        <v>85</v>
      </c>
      <c r="C70" s="203" t="s">
        <v>86</v>
      </c>
      <c r="D70" s="201">
        <v>39300</v>
      </c>
      <c r="E70" s="199" t="s">
        <v>281</v>
      </c>
      <c r="F70" s="200" t="s">
        <v>336</v>
      </c>
    </row>
    <row r="71" s="1" customFormat="1" ht="13.85" spans="1:6">
      <c r="A71" s="193">
        <v>46210</v>
      </c>
      <c r="B71" s="204" t="s">
        <v>43</v>
      </c>
      <c r="C71" s="203" t="s">
        <v>84</v>
      </c>
      <c r="D71" s="201">
        <v>130260</v>
      </c>
      <c r="E71" s="199" t="s">
        <v>281</v>
      </c>
      <c r="F71" s="200" t="s">
        <v>337</v>
      </c>
    </row>
    <row r="72" s="1" customFormat="1" ht="13.85" spans="1:6">
      <c r="A72" s="193">
        <v>46211</v>
      </c>
      <c r="B72" s="204" t="s">
        <v>176</v>
      </c>
      <c r="C72" s="203" t="s">
        <v>238</v>
      </c>
      <c r="D72" s="198">
        <v>23053.12</v>
      </c>
      <c r="E72" s="199" t="s">
        <v>281</v>
      </c>
      <c r="F72" s="200" t="s">
        <v>338</v>
      </c>
    </row>
    <row r="73" s="1" customFormat="1" ht="13.85" spans="1:6">
      <c r="A73" s="193">
        <v>46211</v>
      </c>
      <c r="B73" s="204"/>
      <c r="C73" s="203"/>
      <c r="D73" s="198">
        <v>1750</v>
      </c>
      <c r="E73" s="199" t="s">
        <v>281</v>
      </c>
      <c r="F73" s="200" t="s">
        <v>339</v>
      </c>
    </row>
    <row r="74" s="1" customFormat="1" ht="13.85" spans="1:6">
      <c r="A74" s="193">
        <v>46213</v>
      </c>
      <c r="B74" s="204" t="s">
        <v>28</v>
      </c>
      <c r="C74" s="203" t="s">
        <v>51</v>
      </c>
      <c r="D74" s="201">
        <v>3281970.56</v>
      </c>
      <c r="E74" s="199" t="s">
        <v>281</v>
      </c>
      <c r="F74" s="200" t="s">
        <v>298</v>
      </c>
    </row>
    <row r="75" s="1" customFormat="1" ht="13.85" spans="1:6">
      <c r="A75" s="193">
        <v>46216</v>
      </c>
      <c r="B75" s="204" t="s">
        <v>28</v>
      </c>
      <c r="C75" s="203" t="s">
        <v>87</v>
      </c>
      <c r="D75" s="201">
        <v>300000</v>
      </c>
      <c r="E75" s="199" t="s">
        <v>281</v>
      </c>
      <c r="F75" s="200" t="s">
        <v>340</v>
      </c>
    </row>
    <row r="76" s="1" customFormat="1" ht="13.85" spans="1:6">
      <c r="A76" s="193">
        <v>46216</v>
      </c>
      <c r="B76" s="204" t="s">
        <v>28</v>
      </c>
      <c r="C76" s="203" t="s">
        <v>87</v>
      </c>
      <c r="D76" s="201">
        <v>771840</v>
      </c>
      <c r="E76" s="199" t="s">
        <v>281</v>
      </c>
      <c r="F76" s="200" t="s">
        <v>340</v>
      </c>
    </row>
    <row r="77" s="1" customFormat="1" ht="13.85" spans="1:6">
      <c r="A77" s="193">
        <v>46217</v>
      </c>
      <c r="B77" s="204" t="s">
        <v>28</v>
      </c>
      <c r="C77" s="203" t="s">
        <v>51</v>
      </c>
      <c r="D77" s="201">
        <v>40000</v>
      </c>
      <c r="E77" s="199" t="s">
        <v>281</v>
      </c>
      <c r="F77" s="200" t="s">
        <v>298</v>
      </c>
    </row>
    <row r="78" s="1" customFormat="1" ht="13.85" spans="1:6">
      <c r="A78" s="193">
        <v>46217</v>
      </c>
      <c r="B78" s="204" t="s">
        <v>88</v>
      </c>
      <c r="C78" s="203" t="s">
        <v>89</v>
      </c>
      <c r="D78" s="201">
        <v>900</v>
      </c>
      <c r="E78" s="199" t="s">
        <v>281</v>
      </c>
      <c r="F78" s="200" t="s">
        <v>341</v>
      </c>
    </row>
    <row r="79" s="1" customFormat="1" ht="13.85" spans="1:6">
      <c r="A79" s="193">
        <v>46218</v>
      </c>
      <c r="B79" s="204" t="s">
        <v>28</v>
      </c>
      <c r="C79" s="203" t="s">
        <v>92</v>
      </c>
      <c r="D79" s="201">
        <v>234432</v>
      </c>
      <c r="E79" s="199" t="s">
        <v>281</v>
      </c>
      <c r="F79" s="200" t="s">
        <v>342</v>
      </c>
    </row>
    <row r="80" s="1" customFormat="1" ht="13.85" spans="1:6">
      <c r="A80" s="193">
        <v>46218</v>
      </c>
      <c r="B80" s="204" t="s">
        <v>66</v>
      </c>
      <c r="C80" s="203" t="s">
        <v>90</v>
      </c>
      <c r="D80" s="201">
        <v>1797728</v>
      </c>
      <c r="E80" s="199" t="s">
        <v>281</v>
      </c>
      <c r="F80" s="200" t="s">
        <v>343</v>
      </c>
    </row>
    <row r="81" s="1" customFormat="1" ht="13.85" spans="1:6">
      <c r="A81" s="193">
        <v>46219</v>
      </c>
      <c r="B81" s="205" t="s">
        <v>165</v>
      </c>
      <c r="C81" s="206" t="s">
        <v>223</v>
      </c>
      <c r="D81" s="198">
        <v>198832.24</v>
      </c>
      <c r="E81" s="199" t="s">
        <v>281</v>
      </c>
      <c r="F81" s="200" t="s">
        <v>317</v>
      </c>
    </row>
    <row r="82" s="1" customFormat="1" ht="13.85" spans="1:6">
      <c r="A82" s="193">
        <v>46219</v>
      </c>
      <c r="B82" s="204" t="s">
        <v>66</v>
      </c>
      <c r="C82" s="203" t="s">
        <v>90</v>
      </c>
      <c r="D82" s="201">
        <v>100000</v>
      </c>
      <c r="E82" s="199" t="s">
        <v>281</v>
      </c>
      <c r="F82" s="200" t="s">
        <v>343</v>
      </c>
    </row>
    <row r="83" s="1" customFormat="1" ht="13.85" spans="1:6">
      <c r="A83" s="193">
        <v>46219</v>
      </c>
      <c r="B83" s="205" t="s">
        <v>165</v>
      </c>
      <c r="C83" s="206" t="s">
        <v>236</v>
      </c>
      <c r="D83" s="198">
        <v>33382</v>
      </c>
      <c r="E83" s="199" t="s">
        <v>281</v>
      </c>
      <c r="F83" s="200" t="s">
        <v>329</v>
      </c>
    </row>
    <row r="84" s="1" customFormat="1" ht="13.85" spans="1:6">
      <c r="A84" s="193">
        <v>46219</v>
      </c>
      <c r="B84" s="205" t="s">
        <v>188</v>
      </c>
      <c r="C84" s="206" t="s">
        <v>241</v>
      </c>
      <c r="D84" s="198">
        <v>8420.6</v>
      </c>
      <c r="E84" s="199" t="s">
        <v>281</v>
      </c>
      <c r="F84" s="200" t="s">
        <v>344</v>
      </c>
    </row>
    <row r="85" s="1" customFormat="1" ht="13.85" spans="1:6">
      <c r="A85" s="193">
        <v>46220</v>
      </c>
      <c r="B85" s="205" t="s">
        <v>152</v>
      </c>
      <c r="C85" s="206" t="s">
        <v>233</v>
      </c>
      <c r="D85" s="198">
        <v>33510.4</v>
      </c>
      <c r="E85" s="199" t="s">
        <v>281</v>
      </c>
      <c r="F85" s="200" t="s">
        <v>345</v>
      </c>
    </row>
    <row r="86" s="1" customFormat="1" ht="13.85" spans="1:6">
      <c r="A86" s="193">
        <v>46220</v>
      </c>
      <c r="B86" s="205" t="s">
        <v>152</v>
      </c>
      <c r="C86" s="206" t="s">
        <v>235</v>
      </c>
      <c r="D86" s="198">
        <v>250675.2</v>
      </c>
      <c r="E86" s="199" t="s">
        <v>281</v>
      </c>
      <c r="F86" s="200" t="s">
        <v>346</v>
      </c>
    </row>
    <row r="87" s="1" customFormat="1" ht="13.85" spans="1:6">
      <c r="A87" s="193">
        <v>46223</v>
      </c>
      <c r="B87" s="204" t="s">
        <v>93</v>
      </c>
      <c r="C87" s="203" t="s">
        <v>94</v>
      </c>
      <c r="D87" s="201">
        <v>4200</v>
      </c>
      <c r="E87" s="199" t="s">
        <v>281</v>
      </c>
      <c r="F87" s="200" t="s">
        <v>347</v>
      </c>
    </row>
    <row r="88" s="1" customFormat="1" ht="13.85" spans="1:6">
      <c r="A88" s="193">
        <v>46224</v>
      </c>
      <c r="B88" s="204" t="s">
        <v>28</v>
      </c>
      <c r="C88" s="203" t="s">
        <v>92</v>
      </c>
      <c r="D88" s="201">
        <v>1000000</v>
      </c>
      <c r="E88" s="199" t="s">
        <v>281</v>
      </c>
      <c r="F88" s="200" t="s">
        <v>342</v>
      </c>
    </row>
    <row r="89" s="1" customFormat="1" ht="13.85" spans="1:6">
      <c r="A89" s="193">
        <v>46225</v>
      </c>
      <c r="B89" s="204" t="s">
        <v>188</v>
      </c>
      <c r="C89" s="203" t="s">
        <v>242</v>
      </c>
      <c r="D89" s="198">
        <v>19775</v>
      </c>
      <c r="E89" s="199" t="s">
        <v>281</v>
      </c>
      <c r="F89" s="200" t="s">
        <v>344</v>
      </c>
    </row>
    <row r="90" s="1" customFormat="1" ht="13.85" spans="1:6">
      <c r="A90" s="193">
        <v>46225</v>
      </c>
      <c r="B90" s="204" t="s">
        <v>43</v>
      </c>
      <c r="C90" s="203" t="s">
        <v>95</v>
      </c>
      <c r="D90" s="201">
        <v>87000</v>
      </c>
      <c r="E90" s="199" t="s">
        <v>281</v>
      </c>
      <c r="F90" s="200" t="s">
        <v>348</v>
      </c>
    </row>
    <row r="91" s="1" customFormat="1" ht="14" customHeight="1" spans="1:6">
      <c r="A91" s="193">
        <v>46226</v>
      </c>
      <c r="B91" s="204" t="s">
        <v>96</v>
      </c>
      <c r="C91" s="203" t="s">
        <v>97</v>
      </c>
      <c r="D91" s="201">
        <v>342500</v>
      </c>
      <c r="E91" s="199" t="s">
        <v>281</v>
      </c>
      <c r="F91" s="200" t="s">
        <v>349</v>
      </c>
    </row>
    <row r="92" s="1" customFormat="1" ht="13.85" spans="1:6">
      <c r="A92" s="193">
        <v>46227</v>
      </c>
      <c r="B92" s="204" t="s">
        <v>28</v>
      </c>
      <c r="C92" s="203" t="s">
        <v>92</v>
      </c>
      <c r="D92" s="201">
        <v>1747264</v>
      </c>
      <c r="E92" s="199" t="s">
        <v>281</v>
      </c>
      <c r="F92" s="200" t="s">
        <v>342</v>
      </c>
    </row>
    <row r="93" s="1" customFormat="1" ht="13.85" spans="1:6">
      <c r="A93" s="193">
        <v>46230</v>
      </c>
      <c r="B93" s="204" t="s">
        <v>28</v>
      </c>
      <c r="C93" s="203" t="s">
        <v>92</v>
      </c>
      <c r="D93" s="201">
        <v>2000000</v>
      </c>
      <c r="E93" s="199" t="s">
        <v>281</v>
      </c>
      <c r="F93" s="200" t="s">
        <v>342</v>
      </c>
    </row>
    <row r="94" s="1" customFormat="1" ht="13.85" spans="1:6">
      <c r="A94" s="193">
        <v>46234</v>
      </c>
      <c r="B94" s="204" t="s">
        <v>28</v>
      </c>
      <c r="C94" s="203" t="s">
        <v>103</v>
      </c>
      <c r="D94" s="201">
        <v>4864</v>
      </c>
      <c r="E94" s="199" t="s">
        <v>281</v>
      </c>
      <c r="F94" s="200" t="s">
        <v>350</v>
      </c>
    </row>
    <row r="95" s="1" customFormat="1" ht="13.85" spans="1:6">
      <c r="A95" s="193">
        <v>46239</v>
      </c>
      <c r="B95" s="204" t="s">
        <v>165</v>
      </c>
      <c r="C95" s="203" t="s">
        <v>236</v>
      </c>
      <c r="D95" s="198">
        <v>334368</v>
      </c>
      <c r="E95" s="199" t="s">
        <v>281</v>
      </c>
      <c r="F95" s="200" t="s">
        <v>351</v>
      </c>
    </row>
    <row r="96" s="1" customFormat="1" ht="13.85" spans="1:6">
      <c r="A96" s="193">
        <v>46239</v>
      </c>
      <c r="B96" s="204" t="s">
        <v>165</v>
      </c>
      <c r="C96" s="203" t="s">
        <v>223</v>
      </c>
      <c r="D96" s="198">
        <v>157440</v>
      </c>
      <c r="E96" s="199" t="s">
        <v>281</v>
      </c>
      <c r="F96" s="200" t="s">
        <v>352</v>
      </c>
    </row>
    <row r="97" s="1" customFormat="1" ht="12" customHeight="1" spans="1:6">
      <c r="A97" s="193">
        <v>46240</v>
      </c>
      <c r="B97" s="204" t="s">
        <v>66</v>
      </c>
      <c r="C97" s="143" t="s">
        <v>105</v>
      </c>
      <c r="D97" s="201">
        <v>513300</v>
      </c>
      <c r="E97" s="199" t="s">
        <v>281</v>
      </c>
      <c r="F97" s="200" t="s">
        <v>353</v>
      </c>
    </row>
    <row r="98" s="1" customFormat="1" ht="12" customHeight="1" spans="1:6">
      <c r="A98" s="193">
        <v>46240</v>
      </c>
      <c r="B98" s="207" t="s">
        <v>152</v>
      </c>
      <c r="C98" s="143" t="s">
        <v>239</v>
      </c>
      <c r="D98" s="198">
        <v>226195.2</v>
      </c>
      <c r="E98" s="199" t="s">
        <v>281</v>
      </c>
      <c r="F98" s="200" t="s">
        <v>354</v>
      </c>
    </row>
    <row r="99" s="1" customFormat="1" ht="13.85" spans="1:6">
      <c r="A99" s="193">
        <v>46241</v>
      </c>
      <c r="B99" s="204" t="s">
        <v>210</v>
      </c>
      <c r="C99" s="203" t="s">
        <v>228</v>
      </c>
      <c r="D99" s="198">
        <v>49780</v>
      </c>
      <c r="E99" s="199" t="s">
        <v>281</v>
      </c>
      <c r="F99" s="200" t="s">
        <v>355</v>
      </c>
    </row>
    <row r="100" s="1" customFormat="1" ht="13.85" spans="1:6">
      <c r="A100" s="193">
        <v>46241</v>
      </c>
      <c r="B100" s="204" t="s">
        <v>101</v>
      </c>
      <c r="C100" s="203" t="s">
        <v>102</v>
      </c>
      <c r="D100" s="201">
        <v>378000</v>
      </c>
      <c r="E100" s="199" t="s">
        <v>281</v>
      </c>
      <c r="F100" s="200" t="s">
        <v>356</v>
      </c>
    </row>
    <row r="101" s="1" customFormat="1" ht="13.85" spans="1:6">
      <c r="A101" s="193">
        <v>46245</v>
      </c>
      <c r="B101" s="204" t="s">
        <v>43</v>
      </c>
      <c r="C101" s="203" t="s">
        <v>106</v>
      </c>
      <c r="D101" s="201">
        <v>155400</v>
      </c>
      <c r="E101" s="199" t="s">
        <v>281</v>
      </c>
      <c r="F101" s="200" t="s">
        <v>357</v>
      </c>
    </row>
    <row r="102" s="1" customFormat="1" ht="13.85" spans="1:6">
      <c r="A102" s="193">
        <v>46245</v>
      </c>
      <c r="B102" s="204" t="s">
        <v>194</v>
      </c>
      <c r="C102" s="203" t="s">
        <v>250</v>
      </c>
      <c r="D102" s="198">
        <v>57600</v>
      </c>
      <c r="E102" s="199" t="s">
        <v>281</v>
      </c>
      <c r="F102" s="200" t="s">
        <v>358</v>
      </c>
    </row>
    <row r="103" s="1" customFormat="1" ht="13.85" spans="1:6">
      <c r="A103" s="193">
        <v>46246</v>
      </c>
      <c r="B103" s="204" t="s">
        <v>206</v>
      </c>
      <c r="C103" s="203" t="s">
        <v>229</v>
      </c>
      <c r="D103" s="198">
        <v>29698.28</v>
      </c>
      <c r="E103" s="199" t="s">
        <v>281</v>
      </c>
      <c r="F103" s="200" t="s">
        <v>359</v>
      </c>
    </row>
    <row r="104" s="1" customFormat="1" ht="13.85" spans="1:6">
      <c r="A104" s="193">
        <v>46247</v>
      </c>
      <c r="B104" s="204" t="s">
        <v>33</v>
      </c>
      <c r="C104" s="143" t="s">
        <v>108</v>
      </c>
      <c r="D104" s="198">
        <v>1000000</v>
      </c>
      <c r="E104" s="199" t="s">
        <v>281</v>
      </c>
      <c r="F104" s="200" t="s">
        <v>360</v>
      </c>
    </row>
    <row r="105" s="1" customFormat="1" ht="13.85" spans="1:6">
      <c r="A105" s="193">
        <v>46247</v>
      </c>
      <c r="B105" s="204" t="s">
        <v>33</v>
      </c>
      <c r="C105" s="143" t="s">
        <v>108</v>
      </c>
      <c r="D105" s="198">
        <v>412880</v>
      </c>
      <c r="E105" s="199" t="s">
        <v>281</v>
      </c>
      <c r="F105" s="200" t="s">
        <v>360</v>
      </c>
    </row>
    <row r="106" s="1" customFormat="1" ht="13.85" spans="1:6">
      <c r="A106" s="193">
        <v>46248</v>
      </c>
      <c r="B106" s="204" t="s">
        <v>165</v>
      </c>
      <c r="C106" s="203" t="s">
        <v>236</v>
      </c>
      <c r="D106" s="198">
        <v>100224</v>
      </c>
      <c r="E106" s="199" t="s">
        <v>281</v>
      </c>
      <c r="F106" s="200" t="s">
        <v>351</v>
      </c>
    </row>
    <row r="107" s="1" customFormat="1" ht="13.85" spans="1:6">
      <c r="A107" s="193">
        <v>46248</v>
      </c>
      <c r="B107" s="204" t="s">
        <v>165</v>
      </c>
      <c r="C107" s="203" t="s">
        <v>253</v>
      </c>
      <c r="D107" s="198">
        <v>25651.2</v>
      </c>
      <c r="E107" s="199" t="s">
        <v>281</v>
      </c>
      <c r="F107" s="200" t="s">
        <v>361</v>
      </c>
    </row>
    <row r="108" s="1" customFormat="1" ht="13.85" spans="1:6">
      <c r="A108" s="193">
        <v>46248</v>
      </c>
      <c r="B108" s="204" t="s">
        <v>194</v>
      </c>
      <c r="C108" s="203" t="s">
        <v>250</v>
      </c>
      <c r="D108" s="198">
        <v>960</v>
      </c>
      <c r="E108" s="199" t="s">
        <v>281</v>
      </c>
      <c r="F108" s="200" t="s">
        <v>362</v>
      </c>
    </row>
    <row r="109" s="1" customFormat="1" ht="13.85" spans="1:6">
      <c r="A109" s="193">
        <v>46252</v>
      </c>
      <c r="B109" s="207" t="s">
        <v>152</v>
      </c>
      <c r="C109" s="203" t="s">
        <v>248</v>
      </c>
      <c r="D109" s="198">
        <v>100406.25</v>
      </c>
      <c r="E109" s="199" t="s">
        <v>281</v>
      </c>
      <c r="F109" s="200" t="s">
        <v>363</v>
      </c>
    </row>
    <row r="110" s="1" customFormat="1" ht="13" customHeight="1" spans="1:6">
      <c r="A110" s="193">
        <v>46254</v>
      </c>
      <c r="B110" s="204" t="s">
        <v>28</v>
      </c>
      <c r="C110" s="203" t="s">
        <v>98</v>
      </c>
      <c r="D110" s="201">
        <v>963424</v>
      </c>
      <c r="E110" s="199" t="s">
        <v>281</v>
      </c>
      <c r="F110" s="200" t="s">
        <v>364</v>
      </c>
    </row>
    <row r="111" s="1" customFormat="1" ht="13.85" spans="1:6">
      <c r="A111" s="193">
        <v>46255</v>
      </c>
      <c r="B111" s="204" t="s">
        <v>66</v>
      </c>
      <c r="C111" s="203" t="s">
        <v>100</v>
      </c>
      <c r="D111" s="201">
        <v>256320</v>
      </c>
      <c r="E111" s="199" t="s">
        <v>281</v>
      </c>
      <c r="F111" s="200" t="s">
        <v>365</v>
      </c>
    </row>
    <row r="112" s="1" customFormat="1" ht="13.85" spans="1:6">
      <c r="A112" s="193">
        <v>46255</v>
      </c>
      <c r="B112" s="204" t="s">
        <v>61</v>
      </c>
      <c r="C112" s="203" t="s">
        <v>107</v>
      </c>
      <c r="D112" s="201">
        <v>105400</v>
      </c>
      <c r="E112" s="199" t="s">
        <v>281</v>
      </c>
      <c r="F112" s="200" t="s">
        <v>366</v>
      </c>
    </row>
    <row r="113" s="1" customFormat="1" ht="13.85" spans="1:6">
      <c r="A113" s="193">
        <v>46255</v>
      </c>
      <c r="B113" s="204" t="s">
        <v>28</v>
      </c>
      <c r="C113" s="203" t="s">
        <v>51</v>
      </c>
      <c r="D113" s="201">
        <v>3000000</v>
      </c>
      <c r="E113" s="199" t="s">
        <v>281</v>
      </c>
      <c r="F113" s="200" t="s">
        <v>298</v>
      </c>
    </row>
    <row r="114" s="1" customFormat="1" ht="13.85" spans="1:6">
      <c r="A114" s="193">
        <v>46258</v>
      </c>
      <c r="B114" s="204" t="s">
        <v>28</v>
      </c>
      <c r="C114" s="203" t="s">
        <v>51</v>
      </c>
      <c r="D114" s="201">
        <v>3000000</v>
      </c>
      <c r="E114" s="199" t="s">
        <v>281</v>
      </c>
      <c r="F114" s="200" t="s">
        <v>298</v>
      </c>
    </row>
    <row r="115" s="1" customFormat="1" ht="13.85" spans="1:6">
      <c r="A115" s="193">
        <v>46261</v>
      </c>
      <c r="B115" s="204" t="s">
        <v>28</v>
      </c>
      <c r="C115" s="203" t="s">
        <v>111</v>
      </c>
      <c r="D115" s="201">
        <v>3029760</v>
      </c>
      <c r="E115" s="199" t="s">
        <v>281</v>
      </c>
      <c r="F115" s="200" t="s">
        <v>367</v>
      </c>
    </row>
    <row r="116" s="1" customFormat="1" ht="13.85" spans="1:6">
      <c r="A116" s="193">
        <v>46265</v>
      </c>
      <c r="B116" s="207" t="s">
        <v>165</v>
      </c>
      <c r="C116" s="203" t="s">
        <v>253</v>
      </c>
      <c r="D116" s="198">
        <v>102578.8</v>
      </c>
      <c r="E116" s="199" t="s">
        <v>281</v>
      </c>
      <c r="F116" s="200" t="s">
        <v>361</v>
      </c>
    </row>
    <row r="117" s="1" customFormat="1" ht="13.85" spans="1:6">
      <c r="A117" s="193">
        <v>46265</v>
      </c>
      <c r="B117" s="204" t="s">
        <v>96</v>
      </c>
      <c r="C117" s="203" t="s">
        <v>113</v>
      </c>
      <c r="D117" s="201">
        <v>318072</v>
      </c>
      <c r="E117" s="199" t="s">
        <v>281</v>
      </c>
      <c r="F117" s="200" t="s">
        <v>368</v>
      </c>
    </row>
    <row r="118" s="193" customFormat="1" ht="13.85" spans="1:6">
      <c r="A118" s="193">
        <v>46266</v>
      </c>
      <c r="B118" s="208" t="s">
        <v>258</v>
      </c>
      <c r="C118" s="193" t="s">
        <v>259</v>
      </c>
      <c r="D118" s="198">
        <v>11302</v>
      </c>
      <c r="E118" s="193" t="s">
        <v>281</v>
      </c>
      <c r="F118" s="208" t="s">
        <v>369</v>
      </c>
    </row>
    <row r="119" s="1" customFormat="1" ht="13.85" spans="1:6">
      <c r="A119" s="193">
        <v>46267</v>
      </c>
      <c r="B119" s="207" t="s">
        <v>165</v>
      </c>
      <c r="C119" s="203" t="s">
        <v>236</v>
      </c>
      <c r="D119" s="198">
        <v>133606</v>
      </c>
      <c r="E119" s="199" t="s">
        <v>281</v>
      </c>
      <c r="F119" s="200" t="s">
        <v>351</v>
      </c>
    </row>
    <row r="120" s="1" customFormat="1" ht="13.85" spans="1:6">
      <c r="A120" s="193">
        <v>46268</v>
      </c>
      <c r="B120" s="204" t="s">
        <v>43</v>
      </c>
      <c r="C120" s="203" t="s">
        <v>114</v>
      </c>
      <c r="D120" s="201">
        <v>148500</v>
      </c>
      <c r="E120" s="199" t="s">
        <v>281</v>
      </c>
      <c r="F120" s="200" t="s">
        <v>370</v>
      </c>
    </row>
    <row r="121" s="1" customFormat="1" ht="13" customHeight="1" spans="1:6">
      <c r="A121" s="193">
        <v>46268</v>
      </c>
      <c r="B121" s="209" t="s">
        <v>260</v>
      </c>
      <c r="C121" s="206" t="s">
        <v>261</v>
      </c>
      <c r="D121" s="198">
        <v>4444</v>
      </c>
      <c r="E121" s="199" t="s">
        <v>281</v>
      </c>
      <c r="F121" s="200" t="s">
        <v>371</v>
      </c>
    </row>
    <row r="122" s="1" customFormat="1" ht="13.85" spans="1:6">
      <c r="A122" s="193">
        <v>46272</v>
      </c>
      <c r="B122" s="204" t="s">
        <v>96</v>
      </c>
      <c r="C122" s="203" t="s">
        <v>115</v>
      </c>
      <c r="D122" s="201">
        <v>500000</v>
      </c>
      <c r="E122" s="199" t="s">
        <v>281</v>
      </c>
      <c r="F122" s="200" t="s">
        <v>372</v>
      </c>
    </row>
    <row r="123" s="1" customFormat="1" ht="13.85" spans="1:6">
      <c r="A123" s="193">
        <v>46273</v>
      </c>
      <c r="B123" s="209" t="s">
        <v>202</v>
      </c>
      <c r="C123" s="143" t="s">
        <v>266</v>
      </c>
      <c r="D123" s="198">
        <v>1334.4</v>
      </c>
      <c r="E123" s="199" t="s">
        <v>281</v>
      </c>
      <c r="F123" s="200" t="s">
        <v>373</v>
      </c>
    </row>
    <row r="124" s="1" customFormat="1" ht="13.85" spans="1:6">
      <c r="A124" s="193">
        <v>46274</v>
      </c>
      <c r="B124" s="204" t="s">
        <v>43</v>
      </c>
      <c r="C124" s="203" t="s">
        <v>119</v>
      </c>
      <c r="D124" s="201">
        <v>181650</v>
      </c>
      <c r="E124" s="199" t="s">
        <v>281</v>
      </c>
      <c r="F124" s="200" t="s">
        <v>374</v>
      </c>
    </row>
    <row r="125" s="1" customFormat="1" ht="13" customHeight="1" spans="1:6">
      <c r="A125" s="193">
        <v>46275</v>
      </c>
      <c r="B125" s="204" t="s">
        <v>96</v>
      </c>
      <c r="C125" s="203" t="s">
        <v>115</v>
      </c>
      <c r="D125" s="201">
        <v>3000000</v>
      </c>
      <c r="E125" s="199" t="s">
        <v>281</v>
      </c>
      <c r="F125" s="200" t="s">
        <v>372</v>
      </c>
    </row>
    <row r="126" s="1" customFormat="1" ht="13.85" spans="1:6">
      <c r="A126" s="193">
        <v>46275</v>
      </c>
      <c r="B126" s="204" t="s">
        <v>28</v>
      </c>
      <c r="C126" s="203" t="s">
        <v>51</v>
      </c>
      <c r="D126" s="201">
        <v>1241542.4</v>
      </c>
      <c r="E126" s="199" t="s">
        <v>281</v>
      </c>
      <c r="F126" s="200" t="s">
        <v>375</v>
      </c>
    </row>
    <row r="127" s="1" customFormat="1" ht="13.85" spans="1:6">
      <c r="A127" s="193">
        <v>46275</v>
      </c>
      <c r="B127" s="204" t="s">
        <v>33</v>
      </c>
      <c r="C127" s="203" t="s">
        <v>116</v>
      </c>
      <c r="D127" s="201">
        <v>1500000</v>
      </c>
      <c r="E127" s="199" t="s">
        <v>376</v>
      </c>
      <c r="F127" s="200" t="s">
        <v>377</v>
      </c>
    </row>
    <row r="128" s="1" customFormat="1" ht="13.85" spans="1:7">
      <c r="A128" s="193">
        <v>46276</v>
      </c>
      <c r="B128" s="209" t="s">
        <v>176</v>
      </c>
      <c r="C128" s="143" t="s">
        <v>238</v>
      </c>
      <c r="D128" s="198">
        <v>54709.76</v>
      </c>
      <c r="E128" s="199" t="s">
        <v>281</v>
      </c>
      <c r="F128" s="200" t="s">
        <v>378</v>
      </c>
      <c r="G128" s="1" t="s">
        <v>379</v>
      </c>
    </row>
    <row r="129" s="159" customFormat="1" ht="13.85" spans="1:6">
      <c r="A129" s="193">
        <v>46280</v>
      </c>
      <c r="B129" s="205" t="s">
        <v>43</v>
      </c>
      <c r="C129" s="206" t="s">
        <v>122</v>
      </c>
      <c r="D129" s="201">
        <v>103800</v>
      </c>
      <c r="E129" s="199" t="s">
        <v>281</v>
      </c>
      <c r="F129" s="200" t="s">
        <v>380</v>
      </c>
    </row>
    <row r="130" s="1" customFormat="1" ht="13.85" spans="1:6">
      <c r="A130" s="193">
        <v>46281</v>
      </c>
      <c r="B130" s="209" t="s">
        <v>152</v>
      </c>
      <c r="C130" s="143" t="s">
        <v>248</v>
      </c>
      <c r="D130" s="198">
        <v>66937.5</v>
      </c>
      <c r="E130" s="199" t="s">
        <v>281</v>
      </c>
      <c r="F130" s="200" t="s">
        <v>381</v>
      </c>
    </row>
    <row r="131" s="1" customFormat="1" ht="13.85" spans="1:6">
      <c r="A131" s="193">
        <v>46281</v>
      </c>
      <c r="B131" s="209" t="s">
        <v>165</v>
      </c>
      <c r="C131" s="143" t="s">
        <v>271</v>
      </c>
      <c r="D131" s="198">
        <v>218854</v>
      </c>
      <c r="E131" s="199" t="s">
        <v>281</v>
      </c>
      <c r="F131" s="200" t="s">
        <v>382</v>
      </c>
    </row>
    <row r="132" s="1" customFormat="1" ht="13.85" spans="1:6">
      <c r="A132" s="193">
        <v>46285</v>
      </c>
      <c r="B132" s="209" t="s">
        <v>188</v>
      </c>
      <c r="C132" s="143" t="s">
        <v>241</v>
      </c>
      <c r="D132" s="198">
        <v>19681.4</v>
      </c>
      <c r="E132" s="199" t="s">
        <v>281</v>
      </c>
      <c r="F132" s="200" t="s">
        <v>383</v>
      </c>
    </row>
    <row r="133" s="1" customFormat="1" ht="13.85" spans="1:6">
      <c r="A133" s="193">
        <v>46285</v>
      </c>
      <c r="B133" s="210" t="s">
        <v>165</v>
      </c>
      <c r="C133" s="203" t="s">
        <v>264</v>
      </c>
      <c r="D133" s="198">
        <v>6824.56</v>
      </c>
      <c r="E133" s="199" t="s">
        <v>281</v>
      </c>
      <c r="F133" s="200" t="s">
        <v>384</v>
      </c>
    </row>
    <row r="134" s="159" customFormat="1" ht="13.85" spans="1:6">
      <c r="A134" s="193">
        <v>46286</v>
      </c>
      <c r="B134" s="205" t="s">
        <v>43</v>
      </c>
      <c r="C134" s="206" t="s">
        <v>123</v>
      </c>
      <c r="D134" s="201">
        <v>103800</v>
      </c>
      <c r="E134" s="199" t="s">
        <v>281</v>
      </c>
      <c r="F134" s="200" t="s">
        <v>385</v>
      </c>
    </row>
    <row r="135" s="159" customFormat="1" ht="13.85" spans="1:6">
      <c r="A135" s="193">
        <v>46287</v>
      </c>
      <c r="B135" s="205" t="s">
        <v>28</v>
      </c>
      <c r="C135" s="206" t="s">
        <v>118</v>
      </c>
      <c r="D135" s="201">
        <v>2188800</v>
      </c>
      <c r="E135" s="199" t="s">
        <v>281</v>
      </c>
      <c r="F135" s="200" t="s">
        <v>386</v>
      </c>
    </row>
    <row r="136" s="159" customFormat="1" ht="13.85" spans="1:6">
      <c r="A136" s="193">
        <v>46288</v>
      </c>
      <c r="B136" s="205" t="s">
        <v>48</v>
      </c>
      <c r="C136" s="206" t="s">
        <v>124</v>
      </c>
      <c r="D136" s="201">
        <v>70875</v>
      </c>
      <c r="E136" s="199" t="s">
        <v>281</v>
      </c>
      <c r="F136" s="200" t="s">
        <v>387</v>
      </c>
    </row>
    <row r="137" s="159" customFormat="1" ht="13.85" spans="1:6">
      <c r="A137" s="193">
        <v>46293</v>
      </c>
      <c r="B137" s="205" t="s">
        <v>33</v>
      </c>
      <c r="C137" s="206" t="s">
        <v>126</v>
      </c>
      <c r="D137" s="201">
        <v>269760</v>
      </c>
      <c r="E137" s="199" t="s">
        <v>281</v>
      </c>
      <c r="F137" s="200" t="s">
        <v>388</v>
      </c>
    </row>
    <row r="138" s="159" customFormat="1" ht="13.85" spans="1:6">
      <c r="A138" s="193">
        <v>46293</v>
      </c>
      <c r="B138" s="205" t="s">
        <v>96</v>
      </c>
      <c r="C138" s="206" t="s">
        <v>128</v>
      </c>
      <c r="D138" s="201">
        <v>315562.5</v>
      </c>
      <c r="E138" s="199" t="s">
        <v>281</v>
      </c>
      <c r="F138" s="200" t="s">
        <v>389</v>
      </c>
    </row>
    <row r="139" s="159" customFormat="1" ht="13.85" spans="1:6">
      <c r="A139" s="193">
        <v>46293</v>
      </c>
      <c r="B139" s="205" t="s">
        <v>43</v>
      </c>
      <c r="C139" s="206" t="s">
        <v>125</v>
      </c>
      <c r="D139" s="201">
        <v>103800</v>
      </c>
      <c r="E139" s="199" t="s">
        <v>281</v>
      </c>
      <c r="F139" s="200" t="s">
        <v>390</v>
      </c>
    </row>
    <row r="140" s="159" customFormat="1" ht="13.85" spans="1:6">
      <c r="A140" s="193">
        <v>46293</v>
      </c>
      <c r="B140" s="205" t="s">
        <v>96</v>
      </c>
      <c r="C140" s="206" t="s">
        <v>120</v>
      </c>
      <c r="D140" s="201">
        <v>175200</v>
      </c>
      <c r="E140" s="199" t="s">
        <v>281</v>
      </c>
      <c r="F140" s="200" t="s">
        <v>391</v>
      </c>
    </row>
    <row r="141" s="159" customFormat="1" ht="13.85" spans="1:6">
      <c r="A141" s="193">
        <v>46304</v>
      </c>
      <c r="B141" s="205" t="s">
        <v>152</v>
      </c>
      <c r="C141" s="203" t="s">
        <v>252</v>
      </c>
      <c r="D141" s="198">
        <v>148185.6</v>
      </c>
      <c r="E141" s="199" t="s">
        <v>281</v>
      </c>
      <c r="F141" s="200" t="s">
        <v>392</v>
      </c>
    </row>
    <row r="142" s="159" customFormat="1" ht="13.85" spans="1:6">
      <c r="A142" s="193">
        <v>46304</v>
      </c>
      <c r="B142" s="205" t="s">
        <v>152</v>
      </c>
      <c r="C142" s="203" t="s">
        <v>256</v>
      </c>
      <c r="D142" s="198">
        <v>32704</v>
      </c>
      <c r="E142" s="199" t="s">
        <v>281</v>
      </c>
      <c r="F142" s="200" t="s">
        <v>393</v>
      </c>
    </row>
    <row r="143" s="159" customFormat="1" ht="13.85" spans="1:6">
      <c r="A143" s="193">
        <v>46304</v>
      </c>
      <c r="B143" s="205" t="s">
        <v>152</v>
      </c>
      <c r="C143" s="203" t="s">
        <v>269</v>
      </c>
      <c r="D143" s="198">
        <v>41616</v>
      </c>
      <c r="E143" s="199" t="s">
        <v>281</v>
      </c>
      <c r="F143" s="200" t="s">
        <v>394</v>
      </c>
    </row>
    <row r="144" s="159" customFormat="1" ht="13.85" spans="1:6">
      <c r="A144" s="193">
        <v>46304</v>
      </c>
      <c r="B144" s="205" t="s">
        <v>43</v>
      </c>
      <c r="C144" s="203" t="s">
        <v>130</v>
      </c>
      <c r="D144" s="201">
        <v>79200</v>
      </c>
      <c r="E144" s="199" t="s">
        <v>281</v>
      </c>
      <c r="F144" s="200" t="s">
        <v>395</v>
      </c>
    </row>
    <row r="145" s="159" customFormat="1" ht="13.85" spans="1:6">
      <c r="A145" s="193">
        <v>46305</v>
      </c>
      <c r="B145" s="205" t="s">
        <v>33</v>
      </c>
      <c r="C145" s="203" t="s">
        <v>116</v>
      </c>
      <c r="D145" s="201">
        <v>2000000</v>
      </c>
      <c r="E145" s="199" t="s">
        <v>281</v>
      </c>
      <c r="F145" s="200" t="s">
        <v>377</v>
      </c>
    </row>
    <row r="146" s="159" customFormat="1" ht="13.85" spans="1:6">
      <c r="A146" s="193">
        <v>46309</v>
      </c>
      <c r="B146" s="205" t="s">
        <v>43</v>
      </c>
      <c r="C146" s="203" t="s">
        <v>133</v>
      </c>
      <c r="D146" s="201">
        <v>79200</v>
      </c>
      <c r="E146" s="199" t="s">
        <v>281</v>
      </c>
      <c r="F146" s="200" t="s">
        <v>396</v>
      </c>
    </row>
    <row r="147" s="159" customFormat="1" ht="13.85" spans="1:6">
      <c r="A147" s="193">
        <v>46310</v>
      </c>
      <c r="B147" s="205" t="s">
        <v>274</v>
      </c>
      <c r="C147" s="203" t="s">
        <v>275</v>
      </c>
      <c r="D147" s="198">
        <v>11127.87</v>
      </c>
      <c r="E147" s="199" t="s">
        <v>281</v>
      </c>
      <c r="F147" s="200" t="s">
        <v>397</v>
      </c>
    </row>
    <row r="148" s="159" customFormat="1" ht="13.85" spans="1:6">
      <c r="A148" s="193">
        <v>46310</v>
      </c>
      <c r="B148" s="205" t="s">
        <v>188</v>
      </c>
      <c r="C148" s="203" t="s">
        <v>242</v>
      </c>
      <c r="D148" s="198">
        <v>46175</v>
      </c>
      <c r="E148" s="199" t="s">
        <v>281</v>
      </c>
      <c r="F148" s="200" t="s">
        <v>398</v>
      </c>
    </row>
    <row r="149" s="159" customFormat="1" ht="13.85" spans="1:6">
      <c r="A149" s="193">
        <v>46310</v>
      </c>
      <c r="B149" s="205" t="s">
        <v>165</v>
      </c>
      <c r="C149" s="203" t="s">
        <v>271</v>
      </c>
      <c r="D149" s="198">
        <f>875494-2380</f>
        <v>873114</v>
      </c>
      <c r="E149" s="199" t="s">
        <v>281</v>
      </c>
      <c r="F149" s="200" t="s">
        <v>399</v>
      </c>
    </row>
    <row r="150" s="159" customFormat="1" ht="13.85" spans="1:6">
      <c r="A150" s="193">
        <v>46310</v>
      </c>
      <c r="B150" s="205" t="s">
        <v>165</v>
      </c>
      <c r="C150" s="203" t="s">
        <v>264</v>
      </c>
      <c r="D150" s="198">
        <v>2380</v>
      </c>
      <c r="E150" s="199" t="s">
        <v>281</v>
      </c>
      <c r="F150" s="200" t="s">
        <v>400</v>
      </c>
    </row>
    <row r="151" s="159" customFormat="1" ht="13.85" spans="1:6">
      <c r="A151" s="193">
        <v>46310</v>
      </c>
      <c r="B151" s="205" t="s">
        <v>188</v>
      </c>
      <c r="C151" s="203" t="s">
        <v>276</v>
      </c>
      <c r="D151" s="198">
        <v>11064.44</v>
      </c>
      <c r="E151" s="199" t="s">
        <v>281</v>
      </c>
      <c r="F151" s="200" t="s">
        <v>401</v>
      </c>
    </row>
    <row r="152" s="159" customFormat="1" ht="13.85" spans="1:6">
      <c r="A152" s="193">
        <v>46314</v>
      </c>
      <c r="B152" s="205" t="s">
        <v>43</v>
      </c>
      <c r="C152" s="203" t="s">
        <v>134</v>
      </c>
      <c r="D152" s="201">
        <v>105600</v>
      </c>
      <c r="E152" s="199" t="s">
        <v>281</v>
      </c>
      <c r="F152" s="200" t="s">
        <v>402</v>
      </c>
    </row>
    <row r="153" s="159" customFormat="1" ht="13.85" spans="1:6">
      <c r="A153" s="193">
        <v>46315</v>
      </c>
      <c r="B153" s="205" t="s">
        <v>96</v>
      </c>
      <c r="C153" s="203" t="s">
        <v>135</v>
      </c>
      <c r="D153" s="201">
        <v>181200</v>
      </c>
      <c r="E153" s="199" t="s">
        <v>281</v>
      </c>
      <c r="F153" s="200" t="s">
        <v>403</v>
      </c>
    </row>
    <row r="154" s="159" customFormat="1" ht="13.85" spans="1:6">
      <c r="A154" s="193">
        <v>46315</v>
      </c>
      <c r="B154" s="205" t="s">
        <v>96</v>
      </c>
      <c r="C154" s="203" t="s">
        <v>131</v>
      </c>
      <c r="D154" s="201">
        <f>481200-D153</f>
        <v>300000</v>
      </c>
      <c r="E154" s="199" t="s">
        <v>281</v>
      </c>
      <c r="F154" s="200" t="s">
        <v>404</v>
      </c>
    </row>
    <row r="155" s="159" customFormat="1" ht="13.85" spans="1:6">
      <c r="A155" s="211">
        <v>46316</v>
      </c>
      <c r="B155" s="212" t="s">
        <v>43</v>
      </c>
      <c r="C155" s="213" t="s">
        <v>137</v>
      </c>
      <c r="D155" s="214">
        <v>184800</v>
      </c>
      <c r="E155" s="215" t="s">
        <v>281</v>
      </c>
      <c r="F155" s="216" t="s">
        <v>405</v>
      </c>
    </row>
    <row r="176" spans="2:2">
      <c r="B176" s="194" t="s">
        <v>406</v>
      </c>
    </row>
  </sheetData>
  <autoFilter xmlns:etc="http://www.wps.cn/officeDocument/2017/etCustomData" ref="A1:G155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tabSelected="1" zoomScale="70" zoomScaleNormal="70" topLeftCell="A489" workbookViewId="0">
      <selection activeCell="F510" sqref="F510"/>
    </sheetView>
  </sheetViews>
  <sheetFormatPr defaultColWidth="9.02654867256637" defaultRowHeight="13.5"/>
  <cols>
    <col min="1" max="1" width="8.38938053097345" customWidth="1"/>
    <col min="2" max="2" width="44.9380530973451" style="4" customWidth="1"/>
    <col min="3" max="3" width="9.23008849557522" style="4" customWidth="1"/>
    <col min="4" max="4" width="20.1150442477876" customWidth="1"/>
    <col min="5" max="5" width="7.56637168141593" style="4" customWidth="1"/>
    <col min="6" max="6" width="29.5398230088496" style="4" customWidth="1"/>
    <col min="10" max="10" width="8.6283185840708" customWidth="1"/>
  </cols>
  <sheetData>
    <row r="1" spans="1:11">
      <c r="A1" s="5" t="s">
        <v>407</v>
      </c>
      <c r="B1" s="5" t="s">
        <v>279</v>
      </c>
      <c r="C1" s="5" t="s">
        <v>408</v>
      </c>
      <c r="D1" s="5" t="s">
        <v>4</v>
      </c>
      <c r="E1" s="5" t="s">
        <v>409</v>
      </c>
      <c r="F1" s="5" t="s">
        <v>18</v>
      </c>
      <c r="G1" s="5" t="s">
        <v>410</v>
      </c>
      <c r="H1" s="5" t="s">
        <v>411</v>
      </c>
      <c r="I1" s="5" t="s">
        <v>412</v>
      </c>
      <c r="J1" s="5" t="s">
        <v>413</v>
      </c>
      <c r="K1" s="5" t="s">
        <v>414</v>
      </c>
    </row>
    <row r="2" s="1" customFormat="1" ht="13.85" spans="1:11">
      <c r="A2" s="160">
        <v>46033</v>
      </c>
      <c r="B2" s="160" t="s">
        <v>159</v>
      </c>
      <c r="C2" s="160" t="s">
        <v>41</v>
      </c>
      <c r="D2" s="160" t="s">
        <v>160</v>
      </c>
      <c r="E2" s="161">
        <v>19.2</v>
      </c>
      <c r="F2" s="24" t="s">
        <v>161</v>
      </c>
      <c r="G2" s="162"/>
      <c r="H2" s="162"/>
      <c r="I2" s="162"/>
      <c r="J2" s="160" t="s">
        <v>415</v>
      </c>
      <c r="K2" s="162"/>
    </row>
    <row r="3" s="1" customFormat="1" ht="18" customHeight="1" spans="1:11">
      <c r="A3" s="160">
        <v>46037</v>
      </c>
      <c r="B3" s="160" t="s">
        <v>416</v>
      </c>
      <c r="C3" s="160" t="s">
        <v>30</v>
      </c>
      <c r="D3" s="160" t="s">
        <v>166</v>
      </c>
      <c r="E3" s="161">
        <v>28.8</v>
      </c>
      <c r="F3" s="24" t="s">
        <v>417</v>
      </c>
      <c r="G3" s="162"/>
      <c r="H3" s="162"/>
      <c r="I3" s="162"/>
      <c r="J3" s="164" t="s">
        <v>418</v>
      </c>
      <c r="K3" s="162"/>
    </row>
    <row r="4" s="1" customFormat="1" ht="18" customHeight="1" spans="1:11">
      <c r="A4" s="160">
        <v>46038</v>
      </c>
      <c r="B4" s="160" t="s">
        <v>416</v>
      </c>
      <c r="C4" s="160" t="s">
        <v>30</v>
      </c>
      <c r="D4" s="160" t="s">
        <v>166</v>
      </c>
      <c r="E4" s="161">
        <v>28.8</v>
      </c>
      <c r="F4" s="24" t="s">
        <v>417</v>
      </c>
      <c r="G4" s="162"/>
      <c r="H4" s="162"/>
      <c r="I4" s="162"/>
      <c r="J4" s="164" t="s">
        <v>419</v>
      </c>
      <c r="K4" s="162"/>
    </row>
    <row r="5" s="1" customFormat="1" ht="18" customHeight="1" spans="1:11">
      <c r="A5" s="160">
        <v>46038</v>
      </c>
      <c r="B5" s="160" t="s">
        <v>416</v>
      </c>
      <c r="C5" s="160" t="s">
        <v>30</v>
      </c>
      <c r="D5" s="160" t="s">
        <v>166</v>
      </c>
      <c r="E5" s="161">
        <v>28.8</v>
      </c>
      <c r="F5" s="24" t="s">
        <v>417</v>
      </c>
      <c r="G5" s="162"/>
      <c r="H5" s="162"/>
      <c r="I5" s="162"/>
      <c r="J5" s="164" t="s">
        <v>419</v>
      </c>
      <c r="K5" s="162"/>
    </row>
    <row r="6" s="1" customFormat="1" ht="18" customHeight="1" spans="1:11">
      <c r="A6" s="160">
        <v>46039</v>
      </c>
      <c r="B6" s="160" t="s">
        <v>416</v>
      </c>
      <c r="C6" s="160" t="s">
        <v>30</v>
      </c>
      <c r="D6" s="160" t="s">
        <v>166</v>
      </c>
      <c r="E6" s="161">
        <v>27</v>
      </c>
      <c r="F6" s="24" t="s">
        <v>417</v>
      </c>
      <c r="G6" s="162"/>
      <c r="H6" s="162"/>
      <c r="I6" s="162"/>
      <c r="J6" s="164" t="s">
        <v>419</v>
      </c>
      <c r="K6" s="162"/>
    </row>
    <row r="7" s="1" customFormat="1" ht="18" customHeight="1" spans="1:11">
      <c r="A7" s="160">
        <v>46043</v>
      </c>
      <c r="B7" s="160" t="s">
        <v>416</v>
      </c>
      <c r="C7" s="160" t="s">
        <v>30</v>
      </c>
      <c r="D7" s="160" t="s">
        <v>166</v>
      </c>
      <c r="E7" s="161">
        <v>30.6</v>
      </c>
      <c r="F7" s="24" t="s">
        <v>417</v>
      </c>
      <c r="G7" s="162"/>
      <c r="H7" s="162"/>
      <c r="I7" s="162"/>
      <c r="J7" s="164" t="s">
        <v>419</v>
      </c>
      <c r="K7" s="162"/>
    </row>
    <row r="8" s="1" customFormat="1" ht="18" customHeight="1" spans="1:11">
      <c r="A8" s="160">
        <v>46044</v>
      </c>
      <c r="B8" s="160" t="s">
        <v>416</v>
      </c>
      <c r="C8" s="160" t="s">
        <v>30</v>
      </c>
      <c r="D8" s="160" t="s">
        <v>166</v>
      </c>
      <c r="E8" s="161">
        <v>28.8</v>
      </c>
      <c r="F8" s="24" t="s">
        <v>417</v>
      </c>
      <c r="G8" s="162"/>
      <c r="H8" s="162"/>
      <c r="I8" s="162"/>
      <c r="J8" s="164" t="s">
        <v>419</v>
      </c>
      <c r="K8" s="162"/>
    </row>
    <row r="9" s="1" customFormat="1" ht="18" customHeight="1" spans="1:11">
      <c r="A9" s="160">
        <v>46045</v>
      </c>
      <c r="B9" s="160" t="s">
        <v>416</v>
      </c>
      <c r="C9" s="160" t="s">
        <v>30</v>
      </c>
      <c r="D9" s="160" t="s">
        <v>166</v>
      </c>
      <c r="E9" s="161">
        <v>28.8</v>
      </c>
      <c r="F9" s="24" t="s">
        <v>417</v>
      </c>
      <c r="G9" s="162"/>
      <c r="H9" s="162"/>
      <c r="I9" s="162"/>
      <c r="J9" s="164" t="s">
        <v>420</v>
      </c>
      <c r="K9" s="162"/>
    </row>
    <row r="10" s="1" customFormat="1" ht="18" customHeight="1" spans="1:11">
      <c r="A10" s="160">
        <v>46046</v>
      </c>
      <c r="B10" s="160" t="s">
        <v>416</v>
      </c>
      <c r="C10" s="160" t="s">
        <v>30</v>
      </c>
      <c r="D10" s="160" t="s">
        <v>166</v>
      </c>
      <c r="E10" s="161">
        <v>28.8</v>
      </c>
      <c r="F10" s="24" t="s">
        <v>417</v>
      </c>
      <c r="G10" s="162"/>
      <c r="H10" s="162"/>
      <c r="I10" s="162"/>
      <c r="J10" s="164" t="s">
        <v>421</v>
      </c>
      <c r="K10" s="162"/>
    </row>
    <row r="11" s="1" customFormat="1" ht="18" customHeight="1" spans="1:11">
      <c r="A11" s="160">
        <v>46047</v>
      </c>
      <c r="B11" s="160" t="s">
        <v>416</v>
      </c>
      <c r="C11" s="160" t="s">
        <v>30</v>
      </c>
      <c r="D11" s="160" t="s">
        <v>166</v>
      </c>
      <c r="E11" s="161">
        <v>28.8</v>
      </c>
      <c r="F11" s="24" t="s">
        <v>417</v>
      </c>
      <c r="G11" s="162"/>
      <c r="H11" s="162"/>
      <c r="I11" s="162"/>
      <c r="J11" s="164" t="s">
        <v>421</v>
      </c>
      <c r="K11" s="162"/>
    </row>
    <row r="12" s="1" customFormat="1" ht="18" customHeight="1" spans="1:11">
      <c r="A12" s="160">
        <v>46048</v>
      </c>
      <c r="B12" s="160" t="s">
        <v>416</v>
      </c>
      <c r="C12" s="160" t="s">
        <v>30</v>
      </c>
      <c r="D12" s="160" t="s">
        <v>166</v>
      </c>
      <c r="E12" s="161">
        <v>28.8</v>
      </c>
      <c r="F12" s="24" t="s">
        <v>417</v>
      </c>
      <c r="G12" s="162"/>
      <c r="H12" s="162"/>
      <c r="I12" s="162"/>
      <c r="J12" s="164" t="s">
        <v>422</v>
      </c>
      <c r="K12" s="162"/>
    </row>
    <row r="13" s="1" customFormat="1" ht="18" customHeight="1" spans="1:11">
      <c r="A13" s="160">
        <v>46049</v>
      </c>
      <c r="B13" s="160" t="s">
        <v>416</v>
      </c>
      <c r="C13" s="160" t="s">
        <v>30</v>
      </c>
      <c r="D13" s="160" t="s">
        <v>166</v>
      </c>
      <c r="E13" s="161">
        <v>28.8</v>
      </c>
      <c r="F13" s="24" t="s">
        <v>417</v>
      </c>
      <c r="G13" s="162"/>
      <c r="H13" s="162"/>
      <c r="I13" s="162"/>
      <c r="J13" s="164" t="s">
        <v>422</v>
      </c>
      <c r="K13" s="162"/>
    </row>
    <row r="14" s="1" customFormat="1" ht="18" customHeight="1" spans="1:11">
      <c r="A14" s="160">
        <v>46050</v>
      </c>
      <c r="B14" s="160" t="s">
        <v>416</v>
      </c>
      <c r="C14" s="160" t="s">
        <v>30</v>
      </c>
      <c r="D14" s="160" t="s">
        <v>166</v>
      </c>
      <c r="E14" s="161">
        <v>28.8</v>
      </c>
      <c r="F14" s="24" t="s">
        <v>417</v>
      </c>
      <c r="G14" s="162"/>
      <c r="H14" s="162"/>
      <c r="I14" s="162"/>
      <c r="J14" s="164" t="s">
        <v>423</v>
      </c>
      <c r="K14" s="162"/>
    </row>
    <row r="15" s="1" customFormat="1" ht="18" customHeight="1" spans="1:11">
      <c r="A15" s="160">
        <v>46050</v>
      </c>
      <c r="B15" s="160" t="s">
        <v>416</v>
      </c>
      <c r="C15" s="160" t="s">
        <v>30</v>
      </c>
      <c r="D15" s="160" t="s">
        <v>166</v>
      </c>
      <c r="E15" s="161">
        <v>28.8</v>
      </c>
      <c r="F15" s="24" t="s">
        <v>417</v>
      </c>
      <c r="G15" s="162"/>
      <c r="H15" s="162"/>
      <c r="I15" s="162"/>
      <c r="J15" s="164" t="s">
        <v>424</v>
      </c>
      <c r="K15" s="162"/>
    </row>
    <row r="16" s="1" customFormat="1" ht="18" customHeight="1" spans="1:11">
      <c r="A16" s="160">
        <v>46056</v>
      </c>
      <c r="B16" s="160" t="s">
        <v>416</v>
      </c>
      <c r="C16" s="160" t="s">
        <v>30</v>
      </c>
      <c r="D16" s="160" t="s">
        <v>166</v>
      </c>
      <c r="E16" s="161">
        <v>27.6</v>
      </c>
      <c r="F16" s="24" t="s">
        <v>417</v>
      </c>
      <c r="G16" s="162"/>
      <c r="H16" s="162"/>
      <c r="I16" s="162"/>
      <c r="J16" s="164" t="s">
        <v>425</v>
      </c>
      <c r="K16" s="162"/>
    </row>
    <row r="17" s="1" customFormat="1" ht="18" customHeight="1" spans="1:11">
      <c r="A17" s="160">
        <v>46086</v>
      </c>
      <c r="B17" s="160" t="s">
        <v>170</v>
      </c>
      <c r="C17" s="160" t="s">
        <v>30</v>
      </c>
      <c r="D17" s="160" t="s">
        <v>171</v>
      </c>
      <c r="E17" s="161">
        <v>19.2</v>
      </c>
      <c r="F17" s="24" t="s">
        <v>167</v>
      </c>
      <c r="G17" s="162"/>
      <c r="H17" s="162"/>
      <c r="I17" s="162"/>
      <c r="J17" s="164" t="s">
        <v>426</v>
      </c>
      <c r="K17" s="162"/>
    </row>
    <row r="18" s="1" customFormat="1" ht="18" customHeight="1" spans="1:11">
      <c r="A18" s="160">
        <v>46092</v>
      </c>
      <c r="B18" s="160" t="s">
        <v>170</v>
      </c>
      <c r="C18" s="160" t="s">
        <v>30</v>
      </c>
      <c r="D18" s="160" t="s">
        <v>181</v>
      </c>
      <c r="E18" s="161">
        <v>19.2</v>
      </c>
      <c r="F18" s="24" t="s">
        <v>427</v>
      </c>
      <c r="G18" s="162"/>
      <c r="H18" s="162"/>
      <c r="I18" s="162"/>
      <c r="J18" s="164" t="s">
        <v>428</v>
      </c>
      <c r="K18" s="162"/>
    </row>
    <row r="19" s="1" customFormat="1" ht="18" customHeight="1" spans="1:11">
      <c r="A19" s="160">
        <v>46092</v>
      </c>
      <c r="B19" s="160" t="s">
        <v>170</v>
      </c>
      <c r="C19" s="160" t="s">
        <v>35</v>
      </c>
      <c r="D19" s="160" t="s">
        <v>174</v>
      </c>
      <c r="E19" s="161">
        <v>18.75</v>
      </c>
      <c r="F19" s="24" t="s">
        <v>175</v>
      </c>
      <c r="G19" s="162"/>
      <c r="H19" s="162"/>
      <c r="I19" s="162"/>
      <c r="J19" s="164" t="s">
        <v>429</v>
      </c>
      <c r="K19" s="162"/>
    </row>
    <row r="20" s="1" customFormat="1" ht="18" customHeight="1" spans="1:11">
      <c r="A20" s="160">
        <v>46092</v>
      </c>
      <c r="B20" s="160" t="s">
        <v>170</v>
      </c>
      <c r="C20" s="160" t="s">
        <v>35</v>
      </c>
      <c r="D20" s="160" t="s">
        <v>174</v>
      </c>
      <c r="E20" s="161">
        <v>18.75</v>
      </c>
      <c r="F20" s="24" t="s">
        <v>175</v>
      </c>
      <c r="G20" s="162"/>
      <c r="H20" s="162"/>
      <c r="I20" s="162"/>
      <c r="J20" s="164" t="s">
        <v>429</v>
      </c>
      <c r="K20" s="162"/>
    </row>
    <row r="21" s="1" customFormat="1" ht="18" customHeight="1" spans="1:11">
      <c r="A21" s="160">
        <v>46093</v>
      </c>
      <c r="B21" s="160" t="s">
        <v>170</v>
      </c>
      <c r="C21" s="160" t="s">
        <v>30</v>
      </c>
      <c r="D21" s="160" t="s">
        <v>181</v>
      </c>
      <c r="E21" s="161">
        <v>17.92</v>
      </c>
      <c r="F21" s="24" t="s">
        <v>427</v>
      </c>
      <c r="G21" s="162"/>
      <c r="H21" s="162"/>
      <c r="I21" s="162"/>
      <c r="J21" s="164" t="s">
        <v>429</v>
      </c>
      <c r="K21" s="162"/>
    </row>
    <row r="22" s="1" customFormat="1" ht="18" customHeight="1" spans="1:11">
      <c r="A22" s="160">
        <v>46098</v>
      </c>
      <c r="B22" s="160" t="s">
        <v>152</v>
      </c>
      <c r="C22" s="160" t="s">
        <v>35</v>
      </c>
      <c r="D22" s="160" t="s">
        <v>430</v>
      </c>
      <c r="E22" s="161">
        <v>16.32</v>
      </c>
      <c r="F22" s="24" t="s">
        <v>185</v>
      </c>
      <c r="G22" s="24" t="s">
        <v>431</v>
      </c>
      <c r="H22" s="162"/>
      <c r="I22" s="162"/>
      <c r="J22" s="164" t="s">
        <v>432</v>
      </c>
      <c r="K22" s="162"/>
    </row>
    <row r="23" s="1" customFormat="1" ht="18" customHeight="1" spans="1:11">
      <c r="A23" s="160">
        <v>46098</v>
      </c>
      <c r="B23" s="160" t="s">
        <v>152</v>
      </c>
      <c r="C23" s="160" t="s">
        <v>35</v>
      </c>
      <c r="D23" s="160" t="s">
        <v>430</v>
      </c>
      <c r="E23" s="161">
        <v>16.32</v>
      </c>
      <c r="F23" s="24" t="s">
        <v>185</v>
      </c>
      <c r="G23" s="24" t="s">
        <v>431</v>
      </c>
      <c r="H23" s="162"/>
      <c r="I23" s="162"/>
      <c r="J23" s="164" t="s">
        <v>433</v>
      </c>
      <c r="K23" s="162"/>
    </row>
    <row r="24" s="1" customFormat="1" ht="18" customHeight="1" spans="1:11">
      <c r="A24" s="160">
        <v>46099</v>
      </c>
      <c r="B24" s="160" t="s">
        <v>152</v>
      </c>
      <c r="C24" s="160" t="s">
        <v>35</v>
      </c>
      <c r="D24" s="160" t="s">
        <v>430</v>
      </c>
      <c r="E24" s="161">
        <v>16.32</v>
      </c>
      <c r="F24" s="24" t="s">
        <v>185</v>
      </c>
      <c r="G24" s="24" t="s">
        <v>431</v>
      </c>
      <c r="H24" s="162"/>
      <c r="I24" s="162"/>
      <c r="J24" s="164" t="s">
        <v>433</v>
      </c>
      <c r="K24" s="162"/>
    </row>
    <row r="25" s="1" customFormat="1" ht="18" customHeight="1" spans="1:11">
      <c r="A25" s="160">
        <v>46100</v>
      </c>
      <c r="B25" s="160" t="s">
        <v>188</v>
      </c>
      <c r="C25" s="160" t="s">
        <v>35</v>
      </c>
      <c r="D25" s="160" t="s">
        <v>189</v>
      </c>
      <c r="E25" s="161">
        <v>18.75</v>
      </c>
      <c r="F25" s="24" t="s">
        <v>175</v>
      </c>
      <c r="G25" s="24"/>
      <c r="H25" s="162"/>
      <c r="I25" s="162"/>
      <c r="J25" s="164" t="s">
        <v>429</v>
      </c>
      <c r="K25" s="162"/>
    </row>
    <row r="26" s="1" customFormat="1" ht="18" customHeight="1" spans="1:11">
      <c r="A26" s="160">
        <v>46100</v>
      </c>
      <c r="B26" s="160" t="s">
        <v>188</v>
      </c>
      <c r="C26" s="160" t="s">
        <v>35</v>
      </c>
      <c r="D26" s="160" t="s">
        <v>189</v>
      </c>
      <c r="E26" s="161">
        <v>18.75</v>
      </c>
      <c r="F26" s="24" t="s">
        <v>175</v>
      </c>
      <c r="G26" s="24"/>
      <c r="H26" s="162"/>
      <c r="I26" s="162"/>
      <c r="J26" s="164" t="s">
        <v>428</v>
      </c>
      <c r="K26" s="162"/>
    </row>
    <row r="27" s="1" customFormat="1" ht="18" customHeight="1" spans="1:11">
      <c r="A27" s="160">
        <v>46101</v>
      </c>
      <c r="B27" s="160" t="s">
        <v>176</v>
      </c>
      <c r="C27" s="160" t="s">
        <v>30</v>
      </c>
      <c r="D27" s="160" t="s">
        <v>177</v>
      </c>
      <c r="E27" s="161">
        <v>17.92</v>
      </c>
      <c r="F27" s="24" t="s">
        <v>178</v>
      </c>
      <c r="G27" s="24"/>
      <c r="H27" s="162"/>
      <c r="I27" s="162"/>
      <c r="J27" s="164" t="s">
        <v>429</v>
      </c>
      <c r="K27" s="162"/>
    </row>
    <row r="28" s="1" customFormat="1" ht="18" customHeight="1" spans="1:11">
      <c r="A28" s="160">
        <v>46101</v>
      </c>
      <c r="B28" s="160" t="s">
        <v>28</v>
      </c>
      <c r="C28" s="160" t="s">
        <v>41</v>
      </c>
      <c r="D28" s="160" t="s">
        <v>40</v>
      </c>
      <c r="E28" s="161">
        <v>10</v>
      </c>
      <c r="F28" s="24" t="s">
        <v>82</v>
      </c>
      <c r="G28" s="24"/>
      <c r="H28" s="162"/>
      <c r="I28" s="162"/>
      <c r="J28" s="164" t="s">
        <v>434</v>
      </c>
      <c r="K28" s="162"/>
    </row>
    <row r="29" s="1" customFormat="1" ht="18" customHeight="1" spans="1:11">
      <c r="A29" s="160">
        <v>46101</v>
      </c>
      <c r="B29" s="160" t="s">
        <v>33</v>
      </c>
      <c r="C29" s="160" t="s">
        <v>35</v>
      </c>
      <c r="D29" s="160" t="s">
        <v>34</v>
      </c>
      <c r="E29" s="161">
        <v>18</v>
      </c>
      <c r="F29" s="24" t="s">
        <v>36</v>
      </c>
      <c r="G29" s="24"/>
      <c r="H29" s="162"/>
      <c r="I29" s="162"/>
      <c r="J29" s="164" t="s">
        <v>435</v>
      </c>
      <c r="K29" s="162"/>
    </row>
    <row r="30" s="1" customFormat="1" ht="18" customHeight="1" spans="1:11">
      <c r="A30" s="160">
        <v>46102</v>
      </c>
      <c r="B30" s="160" t="s">
        <v>152</v>
      </c>
      <c r="C30" s="160" t="s">
        <v>35</v>
      </c>
      <c r="D30" s="160" t="s">
        <v>436</v>
      </c>
      <c r="E30" s="161">
        <v>16.32</v>
      </c>
      <c r="F30" s="24" t="s">
        <v>437</v>
      </c>
      <c r="G30" s="24"/>
      <c r="H30" s="162"/>
      <c r="I30" s="162"/>
      <c r="J30" s="164" t="s">
        <v>433</v>
      </c>
      <c r="K30" s="162"/>
    </row>
    <row r="31" s="1" customFormat="1" ht="18" customHeight="1" spans="1:11">
      <c r="A31" s="160">
        <v>46102</v>
      </c>
      <c r="B31" s="160" t="s">
        <v>152</v>
      </c>
      <c r="C31" s="160" t="s">
        <v>35</v>
      </c>
      <c r="D31" s="160" t="s">
        <v>436</v>
      </c>
      <c r="E31" s="161">
        <v>16.32</v>
      </c>
      <c r="F31" s="24" t="s">
        <v>437</v>
      </c>
      <c r="G31" s="24"/>
      <c r="H31" s="162"/>
      <c r="I31" s="162"/>
      <c r="J31" s="164" t="s">
        <v>438</v>
      </c>
      <c r="K31" s="162"/>
    </row>
    <row r="32" s="1" customFormat="1" ht="18" customHeight="1" spans="1:11">
      <c r="A32" s="160">
        <v>46102</v>
      </c>
      <c r="B32" s="160" t="s">
        <v>152</v>
      </c>
      <c r="C32" s="160" t="s">
        <v>35</v>
      </c>
      <c r="D32" s="160" t="s">
        <v>436</v>
      </c>
      <c r="E32" s="161">
        <v>16.32</v>
      </c>
      <c r="F32" s="24" t="s">
        <v>437</v>
      </c>
      <c r="G32" s="24"/>
      <c r="H32" s="162"/>
      <c r="I32" s="162"/>
      <c r="J32" s="164" t="s">
        <v>433</v>
      </c>
      <c r="K32" s="162"/>
    </row>
    <row r="33" s="1" customFormat="1" ht="18" customHeight="1" spans="1:11">
      <c r="A33" s="160">
        <v>46102</v>
      </c>
      <c r="B33" s="160" t="s">
        <v>176</v>
      </c>
      <c r="C33" s="160" t="s">
        <v>30</v>
      </c>
      <c r="D33" s="160" t="s">
        <v>177</v>
      </c>
      <c r="E33" s="161">
        <v>17.92</v>
      </c>
      <c r="F33" s="24" t="s">
        <v>178</v>
      </c>
      <c r="G33" s="24"/>
      <c r="H33" s="162"/>
      <c r="I33" s="162"/>
      <c r="J33" s="164" t="s">
        <v>439</v>
      </c>
      <c r="K33" s="162"/>
    </row>
    <row r="34" s="1" customFormat="1" ht="18" customHeight="1" spans="1:11">
      <c r="A34" s="160">
        <v>46102</v>
      </c>
      <c r="B34" s="160" t="s">
        <v>176</v>
      </c>
      <c r="C34" s="160" t="s">
        <v>30</v>
      </c>
      <c r="D34" s="160" t="s">
        <v>177</v>
      </c>
      <c r="E34" s="161">
        <v>17.92</v>
      </c>
      <c r="F34" s="24" t="s">
        <v>178</v>
      </c>
      <c r="G34" s="24"/>
      <c r="H34" s="162"/>
      <c r="I34" s="162"/>
      <c r="J34" s="164" t="s">
        <v>429</v>
      </c>
      <c r="K34" s="162"/>
    </row>
    <row r="35" s="1" customFormat="1" ht="18" customHeight="1" spans="1:11">
      <c r="A35" s="160">
        <v>46103</v>
      </c>
      <c r="B35" s="160" t="s">
        <v>152</v>
      </c>
      <c r="C35" s="160" t="s">
        <v>35</v>
      </c>
      <c r="D35" s="160" t="s">
        <v>436</v>
      </c>
      <c r="E35" s="161">
        <v>16.32</v>
      </c>
      <c r="F35" s="24" t="s">
        <v>437</v>
      </c>
      <c r="G35" s="24"/>
      <c r="H35" s="162"/>
      <c r="I35" s="162"/>
      <c r="J35" s="164" t="s">
        <v>433</v>
      </c>
      <c r="K35" s="162"/>
    </row>
    <row r="36" s="1" customFormat="1" ht="18" customHeight="1" spans="1:11">
      <c r="A36" s="160">
        <v>46103</v>
      </c>
      <c r="B36" s="160" t="s">
        <v>152</v>
      </c>
      <c r="C36" s="160" t="s">
        <v>35</v>
      </c>
      <c r="D36" s="160" t="s">
        <v>436</v>
      </c>
      <c r="E36" s="161">
        <v>16.32</v>
      </c>
      <c r="F36" s="24" t="s">
        <v>437</v>
      </c>
      <c r="G36" s="24"/>
      <c r="H36" s="162"/>
      <c r="I36" s="162"/>
      <c r="J36" s="164" t="s">
        <v>440</v>
      </c>
      <c r="K36" s="162"/>
    </row>
    <row r="37" s="1" customFormat="1" ht="18" customHeight="1" spans="1:11">
      <c r="A37" s="160">
        <v>46103</v>
      </c>
      <c r="B37" s="160" t="s">
        <v>188</v>
      </c>
      <c r="C37" s="160" t="s">
        <v>35</v>
      </c>
      <c r="D37" s="160" t="s">
        <v>189</v>
      </c>
      <c r="E37" s="161">
        <v>18.75</v>
      </c>
      <c r="F37" s="24" t="s">
        <v>441</v>
      </c>
      <c r="G37" s="24"/>
      <c r="H37" s="162"/>
      <c r="I37" s="162"/>
      <c r="J37" s="164" t="s">
        <v>429</v>
      </c>
      <c r="K37" s="162"/>
    </row>
    <row r="38" s="1" customFormat="1" ht="18" customHeight="1" spans="1:11">
      <c r="A38" s="160">
        <v>46103</v>
      </c>
      <c r="B38" s="160" t="s">
        <v>176</v>
      </c>
      <c r="C38" s="160" t="s">
        <v>30</v>
      </c>
      <c r="D38" s="160" t="s">
        <v>177</v>
      </c>
      <c r="E38" s="161">
        <v>17.92</v>
      </c>
      <c r="F38" s="24" t="s">
        <v>178</v>
      </c>
      <c r="G38" s="24"/>
      <c r="H38" s="162"/>
      <c r="I38" s="162"/>
      <c r="J38" s="164" t="s">
        <v>439</v>
      </c>
      <c r="K38" s="162"/>
    </row>
    <row r="39" s="1" customFormat="1" ht="18" customHeight="1" spans="1:11">
      <c r="A39" s="160">
        <v>46103</v>
      </c>
      <c r="B39" s="160" t="s">
        <v>176</v>
      </c>
      <c r="C39" s="160" t="s">
        <v>30</v>
      </c>
      <c r="D39" s="160" t="s">
        <v>177</v>
      </c>
      <c r="E39" s="161">
        <v>17.92</v>
      </c>
      <c r="F39" s="24" t="s">
        <v>180</v>
      </c>
      <c r="G39" s="24"/>
      <c r="H39" s="162"/>
      <c r="I39" s="162"/>
      <c r="J39" s="164" t="s">
        <v>442</v>
      </c>
      <c r="K39" s="162"/>
    </row>
    <row r="40" s="1" customFormat="1" ht="18" customHeight="1" spans="1:11">
      <c r="A40" s="160">
        <v>46103</v>
      </c>
      <c r="B40" s="160" t="s">
        <v>176</v>
      </c>
      <c r="C40" s="160" t="s">
        <v>30</v>
      </c>
      <c r="D40" s="160" t="s">
        <v>177</v>
      </c>
      <c r="E40" s="161">
        <v>17.92</v>
      </c>
      <c r="F40" s="24" t="s">
        <v>180</v>
      </c>
      <c r="G40" s="24"/>
      <c r="H40" s="162"/>
      <c r="I40" s="162"/>
      <c r="J40" s="164" t="s">
        <v>443</v>
      </c>
      <c r="K40" s="162"/>
    </row>
    <row r="41" s="1" customFormat="1" ht="18" customHeight="1" spans="1:11">
      <c r="A41" s="160">
        <v>46104</v>
      </c>
      <c r="B41" s="160" t="s">
        <v>152</v>
      </c>
      <c r="C41" s="160" t="s">
        <v>35</v>
      </c>
      <c r="D41" s="160" t="s">
        <v>187</v>
      </c>
      <c r="E41" s="161">
        <v>16.32</v>
      </c>
      <c r="F41" s="24" t="s">
        <v>437</v>
      </c>
      <c r="G41" s="24"/>
      <c r="H41" s="162"/>
      <c r="I41" s="162"/>
      <c r="J41" s="164" t="s">
        <v>444</v>
      </c>
      <c r="K41" s="162"/>
    </row>
    <row r="42" s="1" customFormat="1" ht="18" customHeight="1" spans="1:11">
      <c r="A42" s="160">
        <v>46104</v>
      </c>
      <c r="B42" s="160" t="s">
        <v>152</v>
      </c>
      <c r="C42" s="160" t="s">
        <v>35</v>
      </c>
      <c r="D42" s="160" t="s">
        <v>187</v>
      </c>
      <c r="E42" s="161">
        <v>16.32</v>
      </c>
      <c r="F42" s="24" t="s">
        <v>437</v>
      </c>
      <c r="G42" s="24"/>
      <c r="H42" s="162"/>
      <c r="I42" s="162"/>
      <c r="J42" s="164" t="s">
        <v>445</v>
      </c>
      <c r="K42" s="162"/>
    </row>
    <row r="43" s="1" customFormat="1" ht="18" customHeight="1" spans="1:11">
      <c r="A43" s="160">
        <v>46104</v>
      </c>
      <c r="B43" s="160" t="s">
        <v>152</v>
      </c>
      <c r="C43" s="160" t="s">
        <v>35</v>
      </c>
      <c r="D43" s="160" t="s">
        <v>187</v>
      </c>
      <c r="E43" s="161">
        <v>16.32</v>
      </c>
      <c r="F43" s="24" t="s">
        <v>437</v>
      </c>
      <c r="G43" s="24"/>
      <c r="H43" s="162"/>
      <c r="I43" s="162"/>
      <c r="J43" s="164" t="s">
        <v>446</v>
      </c>
      <c r="K43" s="162"/>
    </row>
    <row r="44" s="1" customFormat="1" ht="18" customHeight="1" spans="1:11">
      <c r="A44" s="160">
        <v>46104</v>
      </c>
      <c r="B44" s="160" t="s">
        <v>176</v>
      </c>
      <c r="C44" s="160" t="s">
        <v>30</v>
      </c>
      <c r="D44" s="160" t="s">
        <v>177</v>
      </c>
      <c r="E44" s="161">
        <v>17.92</v>
      </c>
      <c r="F44" s="24" t="s">
        <v>180</v>
      </c>
      <c r="G44" s="24"/>
      <c r="H44" s="162"/>
      <c r="I44" s="162"/>
      <c r="J44" s="164" t="s">
        <v>429</v>
      </c>
      <c r="K44" s="162"/>
    </row>
    <row r="45" s="1" customFormat="1" ht="18" customHeight="1" spans="1:11">
      <c r="A45" s="160">
        <v>46105</v>
      </c>
      <c r="B45" s="160" t="s">
        <v>43</v>
      </c>
      <c r="C45" s="160" t="s">
        <v>47</v>
      </c>
      <c r="D45" s="160" t="s">
        <v>44</v>
      </c>
      <c r="E45" s="161">
        <v>6</v>
      </c>
      <c r="F45" s="24" t="s">
        <v>46</v>
      </c>
      <c r="G45" s="24"/>
      <c r="H45" s="162"/>
      <c r="I45" s="162"/>
      <c r="J45" s="164" t="s">
        <v>447</v>
      </c>
      <c r="K45" s="162"/>
    </row>
    <row r="46" s="1" customFormat="1" ht="19" customHeight="1" spans="1:11">
      <c r="A46" s="160">
        <v>46105</v>
      </c>
      <c r="B46" s="160" t="s">
        <v>43</v>
      </c>
      <c r="C46" s="160" t="s">
        <v>45</v>
      </c>
      <c r="D46" s="160" t="s">
        <v>44</v>
      </c>
      <c r="E46" s="161">
        <v>6</v>
      </c>
      <c r="F46" s="24" t="s">
        <v>46</v>
      </c>
      <c r="G46" s="24"/>
      <c r="H46" s="162"/>
      <c r="I46" s="162"/>
      <c r="J46" s="164" t="s">
        <v>448</v>
      </c>
      <c r="K46" s="162"/>
    </row>
    <row r="47" s="1" customFormat="1" ht="18" customHeight="1" spans="1:11">
      <c r="A47" s="160">
        <v>46106</v>
      </c>
      <c r="B47" s="160" t="s">
        <v>48</v>
      </c>
      <c r="C47" s="160" t="s">
        <v>35</v>
      </c>
      <c r="D47" s="160" t="s">
        <v>49</v>
      </c>
      <c r="E47" s="161">
        <v>11.04</v>
      </c>
      <c r="F47" s="24" t="s">
        <v>46</v>
      </c>
      <c r="G47" s="24"/>
      <c r="H47" s="162"/>
      <c r="I47" s="162"/>
      <c r="J47" s="164" t="s">
        <v>449</v>
      </c>
      <c r="K47" s="162"/>
    </row>
    <row r="48" s="1" customFormat="1" ht="18" customHeight="1" spans="1:11">
      <c r="A48" s="160">
        <v>46107</v>
      </c>
      <c r="B48" s="160" t="s">
        <v>170</v>
      </c>
      <c r="C48" s="160" t="s">
        <v>30</v>
      </c>
      <c r="D48" s="160" t="s">
        <v>181</v>
      </c>
      <c r="E48" s="161">
        <v>17.92</v>
      </c>
      <c r="F48" s="24" t="s">
        <v>427</v>
      </c>
      <c r="G48" s="24"/>
      <c r="H48" s="162"/>
      <c r="I48" s="162"/>
      <c r="J48" s="164" t="s">
        <v>429</v>
      </c>
      <c r="K48" s="162"/>
    </row>
    <row r="49" s="1" customFormat="1" ht="18" customHeight="1" spans="1:11">
      <c r="A49" s="160">
        <v>46113</v>
      </c>
      <c r="B49" s="160" t="s">
        <v>194</v>
      </c>
      <c r="C49" s="160" t="s">
        <v>196</v>
      </c>
      <c r="D49" s="160" t="s">
        <v>195</v>
      </c>
      <c r="E49" s="161">
        <v>17.1</v>
      </c>
      <c r="F49" s="24" t="s">
        <v>450</v>
      </c>
      <c r="G49" s="24"/>
      <c r="H49" s="162"/>
      <c r="I49" s="162"/>
      <c r="J49" s="164" t="s">
        <v>451</v>
      </c>
      <c r="K49" s="162"/>
    </row>
    <row r="50" s="1" customFormat="1" ht="18" customHeight="1" spans="1:11">
      <c r="A50" s="160">
        <v>46113</v>
      </c>
      <c r="B50" s="160" t="s">
        <v>194</v>
      </c>
      <c r="C50" s="160" t="s">
        <v>196</v>
      </c>
      <c r="D50" s="160" t="s">
        <v>195</v>
      </c>
      <c r="E50" s="161">
        <v>17.1</v>
      </c>
      <c r="F50" s="24" t="s">
        <v>450</v>
      </c>
      <c r="G50" s="24"/>
      <c r="H50" s="162"/>
      <c r="I50" s="162"/>
      <c r="J50" s="164" t="s">
        <v>452</v>
      </c>
      <c r="K50" s="162"/>
    </row>
    <row r="51" s="1" customFormat="1" ht="18" customHeight="1" spans="1:11">
      <c r="A51" s="160">
        <v>46114</v>
      </c>
      <c r="B51" s="160" t="s">
        <v>194</v>
      </c>
      <c r="C51" s="160" t="s">
        <v>196</v>
      </c>
      <c r="D51" s="160" t="s">
        <v>195</v>
      </c>
      <c r="E51" s="161">
        <v>17.1</v>
      </c>
      <c r="F51" s="24" t="s">
        <v>450</v>
      </c>
      <c r="G51" s="24"/>
      <c r="H51" s="162"/>
      <c r="I51" s="162"/>
      <c r="J51" s="164" t="s">
        <v>452</v>
      </c>
      <c r="K51" s="162"/>
    </row>
    <row r="52" s="1" customFormat="1" ht="18" customHeight="1" spans="1:11">
      <c r="A52" s="160">
        <v>46115</v>
      </c>
      <c r="B52" s="160" t="s">
        <v>206</v>
      </c>
      <c r="C52" s="160" t="s">
        <v>35</v>
      </c>
      <c r="D52" s="160" t="s">
        <v>207</v>
      </c>
      <c r="E52" s="161">
        <v>1.68</v>
      </c>
      <c r="F52" s="24" t="s">
        <v>185</v>
      </c>
      <c r="G52" s="24"/>
      <c r="H52" s="162"/>
      <c r="I52" s="162"/>
      <c r="J52" s="164" t="s">
        <v>453</v>
      </c>
      <c r="K52" s="162"/>
    </row>
    <row r="53" s="1" customFormat="1" ht="18" customHeight="1" spans="1:11">
      <c r="A53" s="160">
        <v>46120</v>
      </c>
      <c r="B53" s="160" t="s">
        <v>202</v>
      </c>
      <c r="C53" s="160" t="s">
        <v>30</v>
      </c>
      <c r="D53" s="160" t="s">
        <v>203</v>
      </c>
      <c r="E53" s="161">
        <v>17.92</v>
      </c>
      <c r="F53" s="24"/>
      <c r="G53" s="24"/>
      <c r="H53" s="162"/>
      <c r="I53" s="162"/>
      <c r="J53" s="164" t="s">
        <v>454</v>
      </c>
      <c r="K53" s="162"/>
    </row>
    <row r="54" s="1" customFormat="1" ht="18" customHeight="1" spans="1:11">
      <c r="A54" s="160">
        <v>46120</v>
      </c>
      <c r="B54" s="160" t="s">
        <v>202</v>
      </c>
      <c r="C54" s="160" t="s">
        <v>30</v>
      </c>
      <c r="D54" s="160" t="s">
        <v>203</v>
      </c>
      <c r="E54" s="161">
        <v>17.92</v>
      </c>
      <c r="F54" s="24"/>
      <c r="G54" s="24"/>
      <c r="H54" s="162"/>
      <c r="I54" s="162"/>
      <c r="J54" s="164" t="s">
        <v>455</v>
      </c>
      <c r="K54" s="162"/>
    </row>
    <row r="55" s="1" customFormat="1" ht="18" customHeight="1" spans="1:11">
      <c r="A55" s="160">
        <v>46121</v>
      </c>
      <c r="B55" s="160" t="s">
        <v>152</v>
      </c>
      <c r="C55" s="160" t="s">
        <v>35</v>
      </c>
      <c r="D55" s="160" t="s">
        <v>192</v>
      </c>
      <c r="E55" s="161">
        <v>18.75</v>
      </c>
      <c r="F55" s="24" t="s">
        <v>185</v>
      </c>
      <c r="G55" s="24"/>
      <c r="H55" s="162"/>
      <c r="I55" s="162"/>
      <c r="J55" s="164" t="s">
        <v>456</v>
      </c>
      <c r="K55" s="162"/>
    </row>
    <row r="56" s="1" customFormat="1" ht="18" customHeight="1" spans="1:11">
      <c r="A56" s="160">
        <v>46121</v>
      </c>
      <c r="B56" s="160" t="s">
        <v>152</v>
      </c>
      <c r="C56" s="160" t="s">
        <v>35</v>
      </c>
      <c r="D56" s="160" t="s">
        <v>192</v>
      </c>
      <c r="E56" s="161">
        <v>18.75</v>
      </c>
      <c r="F56" s="24" t="s">
        <v>185</v>
      </c>
      <c r="G56" s="24"/>
      <c r="H56" s="162"/>
      <c r="I56" s="162"/>
      <c r="J56" s="164" t="s">
        <v>457</v>
      </c>
      <c r="K56" s="162"/>
    </row>
    <row r="57" s="1" customFormat="1" ht="18" customHeight="1" spans="1:11">
      <c r="A57" s="160">
        <v>46127</v>
      </c>
      <c r="B57" s="160" t="s">
        <v>165</v>
      </c>
      <c r="C57" s="160" t="s">
        <v>30</v>
      </c>
      <c r="D57" s="160" t="s">
        <v>166</v>
      </c>
      <c r="E57" s="161">
        <v>17.92</v>
      </c>
      <c r="F57" s="24" t="s">
        <v>458</v>
      </c>
      <c r="G57" s="24"/>
      <c r="H57" s="162"/>
      <c r="I57" s="162"/>
      <c r="J57" s="164" t="s">
        <v>459</v>
      </c>
      <c r="K57" s="162"/>
    </row>
    <row r="58" s="1" customFormat="1" ht="18" customHeight="1" spans="1:11">
      <c r="A58" s="160">
        <v>46128</v>
      </c>
      <c r="B58" s="160" t="s">
        <v>165</v>
      </c>
      <c r="C58" s="160" t="s">
        <v>30</v>
      </c>
      <c r="D58" s="160" t="s">
        <v>166</v>
      </c>
      <c r="E58" s="161">
        <v>17.92</v>
      </c>
      <c r="F58" s="24" t="s">
        <v>458</v>
      </c>
      <c r="G58" s="24"/>
      <c r="H58" s="162"/>
      <c r="I58" s="162"/>
      <c r="J58" s="164" t="s">
        <v>460</v>
      </c>
      <c r="K58" s="162"/>
    </row>
    <row r="59" s="1" customFormat="1" ht="18" customHeight="1" spans="1:11">
      <c r="A59" s="160">
        <v>46128</v>
      </c>
      <c r="B59" s="160" t="s">
        <v>57</v>
      </c>
      <c r="C59" s="160" t="s">
        <v>35</v>
      </c>
      <c r="D59" s="160" t="s">
        <v>58</v>
      </c>
      <c r="E59" s="161">
        <v>18.75</v>
      </c>
      <c r="F59" s="24" t="s">
        <v>46</v>
      </c>
      <c r="G59" s="24"/>
      <c r="H59" s="163"/>
      <c r="I59" s="162"/>
      <c r="J59" s="164" t="s">
        <v>461</v>
      </c>
      <c r="K59" s="162"/>
    </row>
    <row r="60" s="1" customFormat="1" ht="18" customHeight="1" spans="1:11">
      <c r="A60" s="160">
        <v>46128</v>
      </c>
      <c r="B60" s="160" t="s">
        <v>57</v>
      </c>
      <c r="C60" s="160" t="s">
        <v>35</v>
      </c>
      <c r="D60" s="160" t="s">
        <v>58</v>
      </c>
      <c r="E60" s="161">
        <v>18.75</v>
      </c>
      <c r="F60" s="24" t="s">
        <v>46</v>
      </c>
      <c r="G60" s="24"/>
      <c r="H60" s="162"/>
      <c r="I60" s="162"/>
      <c r="J60" s="164" t="s">
        <v>461</v>
      </c>
      <c r="K60" s="162"/>
    </row>
    <row r="61" s="1" customFormat="1" ht="18" customHeight="1" spans="1:11">
      <c r="A61" s="160">
        <v>46128</v>
      </c>
      <c r="B61" s="160" t="s">
        <v>57</v>
      </c>
      <c r="C61" s="160" t="s">
        <v>35</v>
      </c>
      <c r="D61" s="160" t="s">
        <v>58</v>
      </c>
      <c r="E61" s="161">
        <v>18.75</v>
      </c>
      <c r="F61" s="24" t="s">
        <v>46</v>
      </c>
      <c r="G61" s="24"/>
      <c r="H61" s="162"/>
      <c r="I61" s="162"/>
      <c r="J61" s="164" t="s">
        <v>461</v>
      </c>
      <c r="K61" s="162"/>
    </row>
    <row r="62" s="1" customFormat="1" ht="18" customHeight="1" spans="1:11">
      <c r="A62" s="160">
        <v>46128</v>
      </c>
      <c r="B62" s="160" t="s">
        <v>57</v>
      </c>
      <c r="C62" s="160" t="s">
        <v>35</v>
      </c>
      <c r="D62" s="160" t="s">
        <v>58</v>
      </c>
      <c r="E62" s="161">
        <v>18.75</v>
      </c>
      <c r="F62" s="24" t="s">
        <v>46</v>
      </c>
      <c r="G62" s="24"/>
      <c r="H62" s="162"/>
      <c r="I62" s="162"/>
      <c r="J62" s="164" t="s">
        <v>462</v>
      </c>
      <c r="K62" s="162"/>
    </row>
    <row r="63" s="1" customFormat="1" ht="18" customHeight="1" spans="1:11">
      <c r="A63" s="160">
        <v>46128</v>
      </c>
      <c r="B63" s="160" t="s">
        <v>57</v>
      </c>
      <c r="C63" s="160" t="s">
        <v>35</v>
      </c>
      <c r="D63" s="160" t="s">
        <v>58</v>
      </c>
      <c r="E63" s="161">
        <v>18.75</v>
      </c>
      <c r="F63" s="24" t="s">
        <v>46</v>
      </c>
      <c r="G63" s="24"/>
      <c r="H63" s="162"/>
      <c r="I63" s="162"/>
      <c r="J63" s="164" t="s">
        <v>463</v>
      </c>
      <c r="K63" s="162"/>
    </row>
    <row r="64" s="1" customFormat="1" ht="18" customHeight="1" spans="1:11">
      <c r="A64" s="160">
        <v>46129</v>
      </c>
      <c r="B64" s="160" t="s">
        <v>464</v>
      </c>
      <c r="C64" s="160" t="s">
        <v>35</v>
      </c>
      <c r="D64" s="160" t="s">
        <v>209</v>
      </c>
      <c r="E64" s="161">
        <v>16.32</v>
      </c>
      <c r="F64" s="24" t="s">
        <v>437</v>
      </c>
      <c r="G64" s="24"/>
      <c r="H64" s="162"/>
      <c r="I64" s="162"/>
      <c r="J64" s="164" t="s">
        <v>465</v>
      </c>
      <c r="K64" s="162" t="s">
        <v>466</v>
      </c>
    </row>
    <row r="65" s="1" customFormat="1" ht="18" customHeight="1" spans="1:11">
      <c r="A65" s="160">
        <v>46129</v>
      </c>
      <c r="B65" s="160" t="s">
        <v>464</v>
      </c>
      <c r="C65" s="160" t="s">
        <v>35</v>
      </c>
      <c r="D65" s="160" t="s">
        <v>209</v>
      </c>
      <c r="E65" s="161">
        <v>16.32</v>
      </c>
      <c r="F65" s="24" t="s">
        <v>437</v>
      </c>
      <c r="G65" s="24"/>
      <c r="H65" s="162"/>
      <c r="I65" s="162"/>
      <c r="J65" s="164" t="s">
        <v>467</v>
      </c>
      <c r="K65" s="162" t="s">
        <v>466</v>
      </c>
    </row>
    <row r="66" s="1" customFormat="1" ht="18" customHeight="1" spans="1:11">
      <c r="A66" s="160">
        <v>46130</v>
      </c>
      <c r="B66" s="160" t="s">
        <v>152</v>
      </c>
      <c r="C66" s="160" t="s">
        <v>35</v>
      </c>
      <c r="D66" s="160" t="s">
        <v>192</v>
      </c>
      <c r="E66" s="161">
        <v>18.75</v>
      </c>
      <c r="F66" s="24" t="s">
        <v>154</v>
      </c>
      <c r="G66" s="24"/>
      <c r="H66" s="162"/>
      <c r="I66" s="162"/>
      <c r="J66" s="164" t="s">
        <v>468</v>
      </c>
      <c r="K66" s="162"/>
    </row>
    <row r="67" s="1" customFormat="1" ht="18" customHeight="1" spans="1:11">
      <c r="A67" s="160">
        <v>46130</v>
      </c>
      <c r="B67" s="160" t="s">
        <v>152</v>
      </c>
      <c r="C67" s="160" t="s">
        <v>35</v>
      </c>
      <c r="D67" s="160" t="s">
        <v>192</v>
      </c>
      <c r="E67" s="161">
        <v>18.75</v>
      </c>
      <c r="F67" s="24" t="s">
        <v>154</v>
      </c>
      <c r="G67" s="24"/>
      <c r="H67" s="162"/>
      <c r="I67" s="162"/>
      <c r="J67" s="164" t="s">
        <v>469</v>
      </c>
      <c r="K67" s="162"/>
    </row>
    <row r="68" s="1" customFormat="1" ht="18" customHeight="1" spans="1:11">
      <c r="A68" s="160">
        <v>46130</v>
      </c>
      <c r="B68" s="160" t="s">
        <v>464</v>
      </c>
      <c r="C68" s="160" t="s">
        <v>35</v>
      </c>
      <c r="D68" s="160" t="s">
        <v>209</v>
      </c>
      <c r="E68" s="161">
        <v>16.32</v>
      </c>
      <c r="F68" s="24" t="s">
        <v>185</v>
      </c>
      <c r="G68" s="24"/>
      <c r="H68" s="162"/>
      <c r="I68" s="162"/>
      <c r="J68" s="164" t="s">
        <v>470</v>
      </c>
      <c r="K68" s="162"/>
    </row>
    <row r="69" s="1" customFormat="1" ht="18" customHeight="1" spans="1:11">
      <c r="A69" s="160">
        <v>46130</v>
      </c>
      <c r="B69" s="160" t="s">
        <v>464</v>
      </c>
      <c r="C69" s="160" t="s">
        <v>35</v>
      </c>
      <c r="D69" s="160" t="s">
        <v>209</v>
      </c>
      <c r="E69" s="161">
        <v>16.32</v>
      </c>
      <c r="F69" s="24" t="s">
        <v>185</v>
      </c>
      <c r="G69" s="24"/>
      <c r="H69" s="162"/>
      <c r="I69" s="162"/>
      <c r="J69" s="164" t="s">
        <v>471</v>
      </c>
      <c r="K69" s="162"/>
    </row>
    <row r="70" s="1" customFormat="1" ht="18" customHeight="1" spans="1:11">
      <c r="A70" s="160">
        <v>46131</v>
      </c>
      <c r="B70" s="160" t="s">
        <v>464</v>
      </c>
      <c r="C70" s="160" t="s">
        <v>35</v>
      </c>
      <c r="D70" s="160" t="s">
        <v>209</v>
      </c>
      <c r="E70" s="161">
        <v>16.32</v>
      </c>
      <c r="F70" s="24" t="s">
        <v>185</v>
      </c>
      <c r="G70" s="24"/>
      <c r="H70" s="162"/>
      <c r="I70" s="162"/>
      <c r="J70" s="164" t="s">
        <v>472</v>
      </c>
      <c r="K70" s="162"/>
    </row>
    <row r="71" s="1" customFormat="1" ht="18" customHeight="1" spans="1:11">
      <c r="A71" s="160">
        <v>46131</v>
      </c>
      <c r="B71" s="160" t="s">
        <v>464</v>
      </c>
      <c r="C71" s="160" t="s">
        <v>35</v>
      </c>
      <c r="D71" s="160" t="s">
        <v>209</v>
      </c>
      <c r="E71" s="161">
        <v>16.32</v>
      </c>
      <c r="F71" s="24" t="s">
        <v>185</v>
      </c>
      <c r="G71" s="24"/>
      <c r="H71" s="162"/>
      <c r="I71" s="162"/>
      <c r="J71" s="164" t="s">
        <v>473</v>
      </c>
      <c r="K71" s="162"/>
    </row>
    <row r="72" s="1" customFormat="1" ht="18" customHeight="1" spans="1:11">
      <c r="A72" s="160">
        <v>46134</v>
      </c>
      <c r="B72" s="160" t="s">
        <v>416</v>
      </c>
      <c r="C72" s="160" t="s">
        <v>30</v>
      </c>
      <c r="D72" s="160" t="s">
        <v>166</v>
      </c>
      <c r="E72" s="161">
        <v>17.92</v>
      </c>
      <c r="F72" s="24" t="s">
        <v>458</v>
      </c>
      <c r="G72" s="24"/>
      <c r="H72" s="162"/>
      <c r="I72" s="162"/>
      <c r="J72" s="164" t="s">
        <v>474</v>
      </c>
      <c r="K72" s="162"/>
    </row>
    <row r="73" s="1" customFormat="1" ht="18" customHeight="1" spans="1:11">
      <c r="A73" s="160">
        <v>46134</v>
      </c>
      <c r="B73" s="160" t="s">
        <v>416</v>
      </c>
      <c r="C73" s="160" t="s">
        <v>30</v>
      </c>
      <c r="D73" s="160" t="s">
        <v>166</v>
      </c>
      <c r="E73" s="161">
        <v>17.92</v>
      </c>
      <c r="F73" s="24" t="s">
        <v>458</v>
      </c>
      <c r="G73" s="24"/>
      <c r="H73" s="162"/>
      <c r="I73" s="162"/>
      <c r="J73" s="164" t="s">
        <v>475</v>
      </c>
      <c r="K73" s="162"/>
    </row>
    <row r="74" s="1" customFormat="1" ht="18" customHeight="1" spans="1:11">
      <c r="A74" s="160">
        <v>46134</v>
      </c>
      <c r="B74" s="160" t="s">
        <v>416</v>
      </c>
      <c r="C74" s="160" t="s">
        <v>30</v>
      </c>
      <c r="D74" s="160" t="s">
        <v>166</v>
      </c>
      <c r="E74" s="161">
        <v>17.92</v>
      </c>
      <c r="F74" s="24" t="s">
        <v>458</v>
      </c>
      <c r="G74" s="24"/>
      <c r="H74" s="162"/>
      <c r="I74" s="162"/>
      <c r="J74" s="164" t="s">
        <v>474</v>
      </c>
      <c r="K74" s="162"/>
    </row>
    <row r="75" s="1" customFormat="1" ht="18" customHeight="1" spans="1:11">
      <c r="A75" s="160">
        <v>46135</v>
      </c>
      <c r="B75" s="160" t="s">
        <v>416</v>
      </c>
      <c r="C75" s="160" t="s">
        <v>30</v>
      </c>
      <c r="D75" s="160" t="s">
        <v>166</v>
      </c>
      <c r="E75" s="161">
        <v>1.12</v>
      </c>
      <c r="F75" s="24" t="s">
        <v>458</v>
      </c>
      <c r="G75" s="24"/>
      <c r="H75" s="162"/>
      <c r="I75" s="162"/>
      <c r="J75" s="164" t="s">
        <v>476</v>
      </c>
      <c r="K75" s="162"/>
    </row>
    <row r="76" s="1" customFormat="1" ht="18" customHeight="1" spans="1:11">
      <c r="A76" s="160">
        <v>46135</v>
      </c>
      <c r="B76" s="160" t="s">
        <v>194</v>
      </c>
      <c r="C76" s="160" t="s">
        <v>215</v>
      </c>
      <c r="D76" s="160" t="s">
        <v>214</v>
      </c>
      <c r="E76" s="161">
        <v>9.6</v>
      </c>
      <c r="F76" s="24" t="s">
        <v>180</v>
      </c>
      <c r="G76" s="24"/>
      <c r="H76" s="162"/>
      <c r="I76" s="162"/>
      <c r="J76" s="164" t="s">
        <v>477</v>
      </c>
      <c r="K76" s="162"/>
    </row>
    <row r="77" s="1" customFormat="1" ht="18" customHeight="1" spans="1:11">
      <c r="A77" s="160">
        <v>46139</v>
      </c>
      <c r="B77" s="160" t="s">
        <v>57</v>
      </c>
      <c r="C77" s="160" t="s">
        <v>35</v>
      </c>
      <c r="D77" s="160" t="s">
        <v>58</v>
      </c>
      <c r="E77" s="161">
        <v>18.75</v>
      </c>
      <c r="F77" s="24" t="s">
        <v>46</v>
      </c>
      <c r="G77" s="24"/>
      <c r="H77" s="162"/>
      <c r="I77" s="162"/>
      <c r="J77" s="164" t="s">
        <v>478</v>
      </c>
      <c r="K77" s="162"/>
    </row>
    <row r="78" s="1" customFormat="1" ht="18" customHeight="1" spans="1:11">
      <c r="A78" s="160">
        <v>46139</v>
      </c>
      <c r="B78" s="160" t="s">
        <v>57</v>
      </c>
      <c r="C78" s="160" t="s">
        <v>35</v>
      </c>
      <c r="D78" s="160" t="s">
        <v>58</v>
      </c>
      <c r="E78" s="161">
        <v>18.75</v>
      </c>
      <c r="F78" s="24" t="s">
        <v>46</v>
      </c>
      <c r="G78" s="24"/>
      <c r="H78" s="162"/>
      <c r="I78" s="162"/>
      <c r="J78" s="164" t="s">
        <v>479</v>
      </c>
      <c r="K78" s="162"/>
    </row>
    <row r="79" s="1" customFormat="1" ht="18" customHeight="1" spans="1:11">
      <c r="A79" s="160">
        <v>46139</v>
      </c>
      <c r="B79" s="160" t="s">
        <v>57</v>
      </c>
      <c r="C79" s="160" t="s">
        <v>35</v>
      </c>
      <c r="D79" s="160" t="s">
        <v>58</v>
      </c>
      <c r="E79" s="161">
        <v>18.75</v>
      </c>
      <c r="F79" s="24" t="s">
        <v>46</v>
      </c>
      <c r="G79" s="24"/>
      <c r="H79" s="162"/>
      <c r="I79" s="162"/>
      <c r="J79" s="164" t="s">
        <v>480</v>
      </c>
      <c r="K79" s="162"/>
    </row>
    <row r="80" s="1" customFormat="1" ht="18" customHeight="1" spans="1:11">
      <c r="A80" s="160">
        <v>46139</v>
      </c>
      <c r="B80" s="160" t="s">
        <v>57</v>
      </c>
      <c r="C80" s="160" t="s">
        <v>35</v>
      </c>
      <c r="D80" s="160" t="s">
        <v>58</v>
      </c>
      <c r="E80" s="161">
        <v>18.75</v>
      </c>
      <c r="F80" s="24" t="s">
        <v>46</v>
      </c>
      <c r="G80" s="24"/>
      <c r="H80" s="162"/>
      <c r="I80" s="162"/>
      <c r="J80" s="164" t="s">
        <v>481</v>
      </c>
      <c r="K80" s="162"/>
    </row>
    <row r="81" s="1" customFormat="1" ht="18" customHeight="1" spans="1:11">
      <c r="A81" s="160">
        <v>46139</v>
      </c>
      <c r="B81" s="160" t="s">
        <v>57</v>
      </c>
      <c r="C81" s="160" t="s">
        <v>35</v>
      </c>
      <c r="D81" s="160" t="s">
        <v>58</v>
      </c>
      <c r="E81" s="161">
        <v>18.75</v>
      </c>
      <c r="F81" s="24" t="s">
        <v>46</v>
      </c>
      <c r="G81" s="24"/>
      <c r="H81" s="162"/>
      <c r="I81" s="162"/>
      <c r="J81" s="164" t="s">
        <v>482</v>
      </c>
      <c r="K81" s="162"/>
    </row>
    <row r="82" s="1" customFormat="1" ht="18" customHeight="1" spans="1:11">
      <c r="A82" s="160">
        <v>46140</v>
      </c>
      <c r="B82" s="160" t="s">
        <v>28</v>
      </c>
      <c r="C82" s="160" t="s">
        <v>41</v>
      </c>
      <c r="D82" s="160" t="s">
        <v>53</v>
      </c>
      <c r="E82" s="161">
        <v>22.88</v>
      </c>
      <c r="F82" s="25" t="s">
        <v>54</v>
      </c>
      <c r="G82" s="24"/>
      <c r="H82" s="162"/>
      <c r="I82" s="162"/>
      <c r="J82" s="164" t="s">
        <v>483</v>
      </c>
      <c r="K82" s="162"/>
    </row>
    <row r="83" s="1" customFormat="1" ht="18" customHeight="1" spans="1:11">
      <c r="A83" s="160">
        <v>46142</v>
      </c>
      <c r="B83" s="160" t="s">
        <v>28</v>
      </c>
      <c r="C83" s="160" t="s">
        <v>41</v>
      </c>
      <c r="D83" s="160" t="s">
        <v>53</v>
      </c>
      <c r="E83" s="161">
        <v>20.4</v>
      </c>
      <c r="F83" s="25" t="s">
        <v>54</v>
      </c>
      <c r="G83" s="24"/>
      <c r="H83" s="162"/>
      <c r="I83" s="162"/>
      <c r="J83" s="164" t="s">
        <v>484</v>
      </c>
      <c r="K83" s="162"/>
    </row>
    <row r="84" s="1" customFormat="1" ht="18" customHeight="1" spans="1:11">
      <c r="A84" s="160">
        <v>46142</v>
      </c>
      <c r="B84" s="160" t="s">
        <v>210</v>
      </c>
      <c r="C84" s="160" t="s">
        <v>30</v>
      </c>
      <c r="D84" s="160" t="s">
        <v>211</v>
      </c>
      <c r="E84" s="161">
        <v>19</v>
      </c>
      <c r="F84" s="25" t="s">
        <v>60</v>
      </c>
      <c r="G84" s="24"/>
      <c r="H84" s="162"/>
      <c r="I84" s="162"/>
      <c r="J84" s="164" t="s">
        <v>485</v>
      </c>
      <c r="K84" s="162"/>
    </row>
    <row r="85" s="1" customFormat="1" ht="18" customHeight="1" spans="1:11">
      <c r="A85" s="165">
        <v>46144</v>
      </c>
      <c r="B85" s="165" t="s">
        <v>28</v>
      </c>
      <c r="C85" s="165" t="s">
        <v>30</v>
      </c>
      <c r="D85" s="165" t="s">
        <v>29</v>
      </c>
      <c r="E85" s="166">
        <v>17.92</v>
      </c>
      <c r="F85" s="126" t="s">
        <v>31</v>
      </c>
      <c r="G85" s="56"/>
      <c r="H85" s="167"/>
      <c r="I85" s="167"/>
      <c r="J85" s="169" t="s">
        <v>486</v>
      </c>
      <c r="K85" s="162"/>
    </row>
    <row r="86" s="1" customFormat="1" ht="18" customHeight="1" spans="1:11">
      <c r="A86" s="165">
        <v>46144</v>
      </c>
      <c r="B86" s="165" t="s">
        <v>28</v>
      </c>
      <c r="C86" s="165" t="s">
        <v>30</v>
      </c>
      <c r="D86" s="165" t="s">
        <v>29</v>
      </c>
      <c r="E86" s="166">
        <v>17.92</v>
      </c>
      <c r="F86" s="126" t="s">
        <v>31</v>
      </c>
      <c r="G86" s="56"/>
      <c r="H86" s="167"/>
      <c r="I86" s="167"/>
      <c r="J86" s="169" t="s">
        <v>487</v>
      </c>
      <c r="K86" s="162"/>
    </row>
    <row r="87" s="1" customFormat="1" ht="18" customHeight="1" spans="1:11">
      <c r="A87" s="160">
        <v>46144</v>
      </c>
      <c r="B87" s="160" t="s">
        <v>28</v>
      </c>
      <c r="C87" s="160" t="s">
        <v>41</v>
      </c>
      <c r="D87" s="160" t="s">
        <v>51</v>
      </c>
      <c r="E87" s="161">
        <v>19.2</v>
      </c>
      <c r="F87" s="25" t="s">
        <v>488</v>
      </c>
      <c r="G87" s="24"/>
      <c r="H87" s="162"/>
      <c r="I87" s="162"/>
      <c r="J87" s="164" t="s">
        <v>489</v>
      </c>
      <c r="K87" s="162"/>
    </row>
    <row r="88" s="1" customFormat="1" ht="18" customHeight="1" spans="1:11">
      <c r="A88" s="160">
        <v>46144</v>
      </c>
      <c r="B88" s="160" t="s">
        <v>28</v>
      </c>
      <c r="C88" s="160" t="s">
        <v>41</v>
      </c>
      <c r="D88" s="160" t="s">
        <v>51</v>
      </c>
      <c r="E88" s="161">
        <v>19.2</v>
      </c>
      <c r="F88" s="25" t="s">
        <v>488</v>
      </c>
      <c r="G88" s="24"/>
      <c r="H88" s="162"/>
      <c r="I88" s="162"/>
      <c r="J88" s="164" t="s">
        <v>487</v>
      </c>
      <c r="K88" s="162"/>
    </row>
    <row r="89" s="1" customFormat="1" ht="18" customHeight="1" spans="1:11">
      <c r="A89" s="160">
        <v>46144</v>
      </c>
      <c r="B89" s="160" t="s">
        <v>28</v>
      </c>
      <c r="C89" s="160" t="s">
        <v>41</v>
      </c>
      <c r="D89" s="160" t="s">
        <v>51</v>
      </c>
      <c r="E89" s="161">
        <v>19.2</v>
      </c>
      <c r="F89" s="25" t="s">
        <v>488</v>
      </c>
      <c r="G89" s="24"/>
      <c r="H89" s="162"/>
      <c r="I89" s="162"/>
      <c r="J89" s="164" t="s">
        <v>490</v>
      </c>
      <c r="K89" s="162"/>
    </row>
    <row r="90" s="1" customFormat="1" ht="18" customHeight="1" spans="1:11">
      <c r="A90" s="160">
        <v>46144</v>
      </c>
      <c r="B90" s="160" t="s">
        <v>28</v>
      </c>
      <c r="C90" s="160" t="s">
        <v>30</v>
      </c>
      <c r="D90" s="160" t="s">
        <v>44</v>
      </c>
      <c r="E90" s="161">
        <v>17.92</v>
      </c>
      <c r="F90" s="24" t="s">
        <v>31</v>
      </c>
      <c r="G90" s="24"/>
      <c r="H90" s="162"/>
      <c r="I90" s="162"/>
      <c r="J90" s="164" t="s">
        <v>491</v>
      </c>
      <c r="K90" s="162"/>
    </row>
    <row r="91" s="1" customFormat="1" ht="18" customHeight="1" spans="1:11">
      <c r="A91" s="160">
        <v>46144</v>
      </c>
      <c r="B91" s="160" t="s">
        <v>28</v>
      </c>
      <c r="C91" s="160" t="s">
        <v>30</v>
      </c>
      <c r="D91" s="160" t="s">
        <v>44</v>
      </c>
      <c r="E91" s="161">
        <v>17.92</v>
      </c>
      <c r="F91" s="24" t="s">
        <v>31</v>
      </c>
      <c r="G91" s="24"/>
      <c r="H91" s="162"/>
      <c r="I91" s="162"/>
      <c r="J91" s="164" t="s">
        <v>487</v>
      </c>
      <c r="K91" s="162"/>
    </row>
    <row r="92" s="1" customFormat="1" ht="18" customHeight="1" spans="1:11">
      <c r="A92" s="160">
        <v>46146</v>
      </c>
      <c r="B92" s="160" t="s">
        <v>28</v>
      </c>
      <c r="C92" s="160" t="s">
        <v>41</v>
      </c>
      <c r="D92" s="160" t="s">
        <v>51</v>
      </c>
      <c r="E92" s="161">
        <v>19.2</v>
      </c>
      <c r="F92" s="25" t="s">
        <v>488</v>
      </c>
      <c r="G92" s="24"/>
      <c r="H92" s="162"/>
      <c r="I92" s="162"/>
      <c r="J92" s="164" t="s">
        <v>492</v>
      </c>
      <c r="K92" s="162"/>
    </row>
    <row r="93" s="1" customFormat="1" ht="18" customHeight="1" spans="1:11">
      <c r="A93" s="160">
        <v>46146</v>
      </c>
      <c r="B93" s="160" t="s">
        <v>28</v>
      </c>
      <c r="C93" s="160" t="s">
        <v>41</v>
      </c>
      <c r="D93" s="160" t="s">
        <v>51</v>
      </c>
      <c r="E93" s="161">
        <v>19.2</v>
      </c>
      <c r="F93" s="25" t="s">
        <v>488</v>
      </c>
      <c r="G93" s="24"/>
      <c r="H93" s="162"/>
      <c r="I93" s="162"/>
      <c r="J93" s="164" t="s">
        <v>493</v>
      </c>
      <c r="K93" s="162"/>
    </row>
    <row r="94" s="1" customFormat="1" ht="18" customHeight="1" spans="1:11">
      <c r="A94" s="160">
        <v>46147</v>
      </c>
      <c r="B94" s="160" t="s">
        <v>28</v>
      </c>
      <c r="C94" s="160" t="s">
        <v>41</v>
      </c>
      <c r="D94" s="160" t="s">
        <v>51</v>
      </c>
      <c r="E94" s="161">
        <v>19.2</v>
      </c>
      <c r="F94" s="25" t="s">
        <v>488</v>
      </c>
      <c r="G94" s="24"/>
      <c r="H94" s="162"/>
      <c r="I94" s="162"/>
      <c r="J94" s="164" t="s">
        <v>494</v>
      </c>
      <c r="K94" s="162"/>
    </row>
    <row r="95" s="1" customFormat="1" ht="18" customHeight="1" spans="1:11">
      <c r="A95" s="160">
        <v>46147</v>
      </c>
      <c r="B95" s="160" t="s">
        <v>28</v>
      </c>
      <c r="C95" s="160" t="s">
        <v>41</v>
      </c>
      <c r="D95" s="160" t="s">
        <v>51</v>
      </c>
      <c r="E95" s="161">
        <v>19.2</v>
      </c>
      <c r="F95" s="25" t="s">
        <v>488</v>
      </c>
      <c r="G95" s="24"/>
      <c r="H95" s="162"/>
      <c r="I95" s="162"/>
      <c r="J95" s="164" t="s">
        <v>494</v>
      </c>
      <c r="K95" s="162"/>
    </row>
    <row r="96" s="1" customFormat="1" ht="18" customHeight="1" spans="1:11">
      <c r="A96" s="160">
        <v>46148</v>
      </c>
      <c r="B96" s="160" t="s">
        <v>28</v>
      </c>
      <c r="C96" s="160" t="s">
        <v>41</v>
      </c>
      <c r="D96" s="160" t="s">
        <v>51</v>
      </c>
      <c r="E96" s="161">
        <v>19.2</v>
      </c>
      <c r="F96" s="25" t="s">
        <v>488</v>
      </c>
      <c r="G96" s="24"/>
      <c r="H96" s="162"/>
      <c r="I96" s="162"/>
      <c r="J96" s="164" t="s">
        <v>495</v>
      </c>
      <c r="K96" s="162"/>
    </row>
    <row r="97" s="1" customFormat="1" ht="18" customHeight="1" spans="1:11">
      <c r="A97" s="160">
        <v>46149</v>
      </c>
      <c r="B97" s="160" t="s">
        <v>28</v>
      </c>
      <c r="C97" s="160" t="s">
        <v>41</v>
      </c>
      <c r="D97" s="160" t="s">
        <v>51</v>
      </c>
      <c r="E97" s="161">
        <v>19.2</v>
      </c>
      <c r="F97" s="25" t="s">
        <v>488</v>
      </c>
      <c r="G97" s="24"/>
      <c r="H97" s="162"/>
      <c r="I97" s="162"/>
      <c r="J97" s="164" t="s">
        <v>496</v>
      </c>
      <c r="K97" s="162"/>
    </row>
    <row r="98" s="1" customFormat="1" ht="18" customHeight="1" spans="1:11">
      <c r="A98" s="160">
        <v>46149</v>
      </c>
      <c r="B98" s="160" t="s">
        <v>28</v>
      </c>
      <c r="C98" s="160" t="s">
        <v>41</v>
      </c>
      <c r="D98" s="160" t="s">
        <v>51</v>
      </c>
      <c r="E98" s="161">
        <v>19.2</v>
      </c>
      <c r="F98" s="25" t="s">
        <v>488</v>
      </c>
      <c r="G98" s="24"/>
      <c r="H98" s="162"/>
      <c r="I98" s="162"/>
      <c r="J98" s="164" t="s">
        <v>497</v>
      </c>
      <c r="K98" s="162"/>
    </row>
    <row r="99" s="1" customFormat="1" ht="18" customHeight="1" spans="1:11">
      <c r="A99" s="160">
        <v>46149</v>
      </c>
      <c r="B99" s="160" t="s">
        <v>28</v>
      </c>
      <c r="C99" s="160" t="s">
        <v>41</v>
      </c>
      <c r="D99" s="160" t="s">
        <v>51</v>
      </c>
      <c r="E99" s="161">
        <v>19.2</v>
      </c>
      <c r="F99" s="25" t="s">
        <v>488</v>
      </c>
      <c r="G99" s="24"/>
      <c r="H99" s="162"/>
      <c r="I99" s="162"/>
      <c r="J99" s="164" t="s">
        <v>496</v>
      </c>
      <c r="K99" s="162"/>
    </row>
    <row r="100" s="1" customFormat="1" ht="18" customHeight="1" spans="1:11">
      <c r="A100" s="160">
        <v>46150</v>
      </c>
      <c r="B100" s="160" t="s">
        <v>28</v>
      </c>
      <c r="C100" s="160" t="s">
        <v>41</v>
      </c>
      <c r="D100" s="160" t="s">
        <v>51</v>
      </c>
      <c r="E100" s="161">
        <v>19.2</v>
      </c>
      <c r="F100" s="25" t="s">
        <v>488</v>
      </c>
      <c r="G100" s="24"/>
      <c r="H100" s="162"/>
      <c r="I100" s="162"/>
      <c r="J100" s="164" t="s">
        <v>498</v>
      </c>
      <c r="K100" s="162"/>
    </row>
    <row r="101" s="1" customFormat="1" ht="18" customHeight="1" spans="1:11">
      <c r="A101" s="160">
        <v>46150</v>
      </c>
      <c r="B101" s="160" t="s">
        <v>28</v>
      </c>
      <c r="C101" s="160" t="s">
        <v>41</v>
      </c>
      <c r="D101" s="160" t="s">
        <v>51</v>
      </c>
      <c r="E101" s="161">
        <v>19.2</v>
      </c>
      <c r="F101" s="25" t="s">
        <v>488</v>
      </c>
      <c r="G101" s="24"/>
      <c r="H101" s="162"/>
      <c r="I101" s="162"/>
      <c r="J101" s="164" t="s">
        <v>499</v>
      </c>
      <c r="K101" s="162"/>
    </row>
    <row r="102" s="1" customFormat="1" ht="18" customHeight="1" spans="1:11">
      <c r="A102" s="160">
        <v>46150</v>
      </c>
      <c r="B102" s="160" t="s">
        <v>28</v>
      </c>
      <c r="C102" s="160" t="s">
        <v>41</v>
      </c>
      <c r="D102" s="160" t="s">
        <v>51</v>
      </c>
      <c r="E102" s="161">
        <v>19.2</v>
      </c>
      <c r="F102" s="25" t="s">
        <v>488</v>
      </c>
      <c r="G102" s="24"/>
      <c r="H102" s="162"/>
      <c r="I102" s="162"/>
      <c r="J102" s="164" t="s">
        <v>496</v>
      </c>
      <c r="K102" s="162"/>
    </row>
    <row r="103" s="1" customFormat="1" ht="18" customHeight="1" spans="1:11">
      <c r="A103" s="160">
        <v>46151</v>
      </c>
      <c r="B103" s="160" t="s">
        <v>28</v>
      </c>
      <c r="C103" s="160" t="s">
        <v>41</v>
      </c>
      <c r="D103" s="160" t="s">
        <v>51</v>
      </c>
      <c r="E103" s="168">
        <v>19.2</v>
      </c>
      <c r="F103" s="25" t="s">
        <v>488</v>
      </c>
      <c r="G103" s="24"/>
      <c r="H103" s="162"/>
      <c r="I103" s="162"/>
      <c r="J103" s="164" t="s">
        <v>500</v>
      </c>
      <c r="K103" s="162"/>
    </row>
    <row r="104" s="1" customFormat="1" ht="18" customHeight="1" spans="1:11">
      <c r="A104" s="160">
        <v>46151</v>
      </c>
      <c r="B104" s="160" t="s">
        <v>28</v>
      </c>
      <c r="C104" s="160" t="s">
        <v>41</v>
      </c>
      <c r="D104" s="160" t="s">
        <v>51</v>
      </c>
      <c r="E104" s="168">
        <v>19.2</v>
      </c>
      <c r="F104" s="25" t="s">
        <v>488</v>
      </c>
      <c r="G104" s="24"/>
      <c r="H104" s="162"/>
      <c r="I104" s="162"/>
      <c r="J104" s="164" t="s">
        <v>501</v>
      </c>
      <c r="K104" s="162"/>
    </row>
    <row r="105" s="1" customFormat="1" ht="18" customHeight="1" spans="1:11">
      <c r="A105" s="160">
        <v>46151</v>
      </c>
      <c r="B105" s="160" t="s">
        <v>28</v>
      </c>
      <c r="C105" s="160" t="s">
        <v>41</v>
      </c>
      <c r="D105" s="160" t="s">
        <v>51</v>
      </c>
      <c r="E105" s="168">
        <v>19.2</v>
      </c>
      <c r="F105" s="25" t="s">
        <v>488</v>
      </c>
      <c r="G105" s="24"/>
      <c r="H105" s="162"/>
      <c r="I105" s="162"/>
      <c r="J105" s="164" t="s">
        <v>500</v>
      </c>
      <c r="K105" s="162"/>
    </row>
    <row r="106" s="1" customFormat="1" ht="18" customHeight="1" spans="1:11">
      <c r="A106" s="160">
        <v>46151</v>
      </c>
      <c r="B106" s="160" t="s">
        <v>28</v>
      </c>
      <c r="C106" s="160" t="s">
        <v>41</v>
      </c>
      <c r="D106" s="160" t="s">
        <v>51</v>
      </c>
      <c r="E106" s="168">
        <v>19.2</v>
      </c>
      <c r="F106" s="25" t="s">
        <v>488</v>
      </c>
      <c r="G106" s="24"/>
      <c r="H106" s="162"/>
      <c r="I106" s="162"/>
      <c r="J106" s="164" t="s">
        <v>501</v>
      </c>
      <c r="K106" s="162"/>
    </row>
    <row r="107" s="1" customFormat="1" ht="18" customHeight="1" spans="1:11">
      <c r="A107" s="160">
        <v>46152</v>
      </c>
      <c r="B107" s="160" t="s">
        <v>464</v>
      </c>
      <c r="C107" s="160" t="s">
        <v>502</v>
      </c>
      <c r="D107" s="160" t="s">
        <v>213</v>
      </c>
      <c r="E107" s="168">
        <v>18.75</v>
      </c>
      <c r="F107" s="25" t="s">
        <v>154</v>
      </c>
      <c r="G107" s="24"/>
      <c r="H107" s="162"/>
      <c r="I107" s="162"/>
      <c r="J107" s="164" t="s">
        <v>503</v>
      </c>
      <c r="K107" s="162"/>
    </row>
    <row r="108" s="1" customFormat="1" ht="18" customHeight="1" spans="1:11">
      <c r="A108" s="160">
        <v>46152</v>
      </c>
      <c r="B108" s="160" t="s">
        <v>464</v>
      </c>
      <c r="C108" s="160" t="s">
        <v>502</v>
      </c>
      <c r="D108" s="160" t="s">
        <v>213</v>
      </c>
      <c r="E108" s="168">
        <v>18.75</v>
      </c>
      <c r="F108" s="25" t="s">
        <v>154</v>
      </c>
      <c r="G108" s="24"/>
      <c r="H108" s="162"/>
      <c r="I108" s="162"/>
      <c r="J108" s="164" t="s">
        <v>504</v>
      </c>
      <c r="K108" s="162"/>
    </row>
    <row r="109" s="1" customFormat="1" ht="18" customHeight="1" spans="1:11">
      <c r="A109" s="160">
        <v>46152</v>
      </c>
      <c r="B109" s="160" t="s">
        <v>28</v>
      </c>
      <c r="C109" s="160" t="s">
        <v>41</v>
      </c>
      <c r="D109" s="160" t="s">
        <v>51</v>
      </c>
      <c r="E109" s="168">
        <v>19.2</v>
      </c>
      <c r="F109" s="25" t="s">
        <v>488</v>
      </c>
      <c r="G109" s="24"/>
      <c r="H109" s="162"/>
      <c r="I109" s="162"/>
      <c r="J109" s="164" t="s">
        <v>505</v>
      </c>
      <c r="K109" s="162"/>
    </row>
    <row r="110" s="1" customFormat="1" ht="18" customHeight="1" spans="1:11">
      <c r="A110" s="160">
        <v>46152</v>
      </c>
      <c r="B110" s="160" t="s">
        <v>28</v>
      </c>
      <c r="C110" s="160" t="s">
        <v>41</v>
      </c>
      <c r="D110" s="160" t="s">
        <v>51</v>
      </c>
      <c r="E110" s="168">
        <v>19.2</v>
      </c>
      <c r="F110" s="25" t="s">
        <v>488</v>
      </c>
      <c r="G110" s="24"/>
      <c r="H110" s="162"/>
      <c r="I110" s="162"/>
      <c r="J110" s="164" t="s">
        <v>506</v>
      </c>
      <c r="K110" s="162"/>
    </row>
    <row r="111" s="1" customFormat="1" ht="18" customHeight="1" spans="1:11">
      <c r="A111" s="160">
        <v>46152</v>
      </c>
      <c r="B111" s="160" t="s">
        <v>28</v>
      </c>
      <c r="C111" s="160" t="s">
        <v>41</v>
      </c>
      <c r="D111" s="160" t="s">
        <v>51</v>
      </c>
      <c r="E111" s="168">
        <v>19.2</v>
      </c>
      <c r="F111" s="25" t="s">
        <v>488</v>
      </c>
      <c r="G111" s="24"/>
      <c r="H111" s="162"/>
      <c r="I111" s="162"/>
      <c r="J111" s="164" t="s">
        <v>507</v>
      </c>
      <c r="K111" s="162"/>
    </row>
    <row r="112" s="1" customFormat="1" ht="18" customHeight="1" spans="1:11">
      <c r="A112" s="160">
        <v>46152</v>
      </c>
      <c r="B112" s="160" t="s">
        <v>28</v>
      </c>
      <c r="C112" s="160" t="s">
        <v>30</v>
      </c>
      <c r="D112" s="160" t="s">
        <v>29</v>
      </c>
      <c r="E112" s="168">
        <v>17.92</v>
      </c>
      <c r="F112" s="25" t="s">
        <v>31</v>
      </c>
      <c r="G112" s="24"/>
      <c r="H112" s="162"/>
      <c r="I112" s="162"/>
      <c r="J112" s="164" t="s">
        <v>508</v>
      </c>
      <c r="K112" s="162"/>
    </row>
    <row r="113" s="1" customFormat="1" ht="18" customHeight="1" spans="1:11">
      <c r="A113" s="160">
        <v>46152</v>
      </c>
      <c r="B113" s="160" t="s">
        <v>28</v>
      </c>
      <c r="C113" s="160" t="s">
        <v>30</v>
      </c>
      <c r="D113" s="160" t="s">
        <v>29</v>
      </c>
      <c r="E113" s="168">
        <v>17.92</v>
      </c>
      <c r="F113" s="25" t="s">
        <v>31</v>
      </c>
      <c r="G113" s="24"/>
      <c r="H113" s="162"/>
      <c r="I113" s="162"/>
      <c r="J113" s="164" t="s">
        <v>509</v>
      </c>
      <c r="K113" s="162"/>
    </row>
    <row r="114" s="1" customFormat="1" ht="18" customHeight="1" spans="1:11">
      <c r="A114" s="160">
        <v>46152</v>
      </c>
      <c r="B114" s="160" t="s">
        <v>28</v>
      </c>
      <c r="C114" s="160" t="s">
        <v>30</v>
      </c>
      <c r="D114" s="160" t="s">
        <v>29</v>
      </c>
      <c r="E114" s="168">
        <v>17.92</v>
      </c>
      <c r="F114" s="25" t="s">
        <v>31</v>
      </c>
      <c r="G114" s="24"/>
      <c r="H114" s="162"/>
      <c r="I114" s="162"/>
      <c r="J114" s="164" t="s">
        <v>495</v>
      </c>
      <c r="K114" s="162"/>
    </row>
    <row r="115" s="1" customFormat="1" ht="18" customHeight="1" spans="1:11">
      <c r="A115" s="160">
        <v>46153</v>
      </c>
      <c r="B115" s="160" t="s">
        <v>28</v>
      </c>
      <c r="C115" s="160" t="s">
        <v>30</v>
      </c>
      <c r="D115" s="160" t="s">
        <v>29</v>
      </c>
      <c r="E115" s="168">
        <v>17.92</v>
      </c>
      <c r="F115" s="25" t="s">
        <v>31</v>
      </c>
      <c r="G115" s="24"/>
      <c r="H115" s="162"/>
      <c r="I115" s="162"/>
      <c r="J115" s="164" t="s">
        <v>510</v>
      </c>
      <c r="K115" s="162"/>
    </row>
    <row r="116" s="1" customFormat="1" ht="18" customHeight="1" spans="1:11">
      <c r="A116" s="160">
        <v>46153</v>
      </c>
      <c r="B116" s="160" t="s">
        <v>28</v>
      </c>
      <c r="C116" s="160" t="s">
        <v>30</v>
      </c>
      <c r="D116" s="160" t="s">
        <v>29</v>
      </c>
      <c r="E116" s="168">
        <v>17.92</v>
      </c>
      <c r="F116" s="25" t="s">
        <v>31</v>
      </c>
      <c r="G116" s="24"/>
      <c r="H116" s="162"/>
      <c r="I116" s="162"/>
      <c r="J116" s="164" t="s">
        <v>511</v>
      </c>
      <c r="K116" s="162"/>
    </row>
    <row r="117" s="1" customFormat="1" ht="18" customHeight="1" spans="1:11">
      <c r="A117" s="160">
        <v>46153</v>
      </c>
      <c r="B117" s="160" t="s">
        <v>28</v>
      </c>
      <c r="C117" s="160" t="s">
        <v>30</v>
      </c>
      <c r="D117" s="160" t="s">
        <v>29</v>
      </c>
      <c r="E117" s="168">
        <v>17.92</v>
      </c>
      <c r="F117" s="25" t="s">
        <v>31</v>
      </c>
      <c r="G117" s="24"/>
      <c r="H117" s="162"/>
      <c r="I117" s="162"/>
      <c r="J117" s="164" t="s">
        <v>494</v>
      </c>
      <c r="K117" s="162"/>
    </row>
    <row r="118" s="1" customFormat="1" ht="18" customHeight="1" spans="1:11">
      <c r="A118" s="160">
        <v>46153</v>
      </c>
      <c r="B118" s="160" t="s">
        <v>28</v>
      </c>
      <c r="C118" s="160" t="s">
        <v>30</v>
      </c>
      <c r="D118" s="160" t="s">
        <v>29</v>
      </c>
      <c r="E118" s="168">
        <v>17.92</v>
      </c>
      <c r="F118" s="25" t="s">
        <v>31</v>
      </c>
      <c r="G118" s="24"/>
      <c r="H118" s="162"/>
      <c r="I118" s="162"/>
      <c r="J118" s="164" t="s">
        <v>494</v>
      </c>
      <c r="K118" s="162"/>
    </row>
    <row r="119" s="1" customFormat="1" ht="18" customHeight="1" spans="1:11">
      <c r="A119" s="160">
        <v>46153</v>
      </c>
      <c r="B119" s="160" t="s">
        <v>28</v>
      </c>
      <c r="C119" s="160" t="s">
        <v>30</v>
      </c>
      <c r="D119" s="160" t="s">
        <v>29</v>
      </c>
      <c r="E119" s="168">
        <v>17.92</v>
      </c>
      <c r="F119" s="25" t="s">
        <v>31</v>
      </c>
      <c r="G119" s="24"/>
      <c r="H119" s="162"/>
      <c r="I119" s="162"/>
      <c r="J119" s="164" t="s">
        <v>512</v>
      </c>
      <c r="K119" s="162"/>
    </row>
    <row r="120" s="1" customFormat="1" ht="18" customHeight="1" spans="1:11">
      <c r="A120" s="160">
        <v>46153</v>
      </c>
      <c r="B120" s="160" t="s">
        <v>28</v>
      </c>
      <c r="C120" s="160" t="s">
        <v>41</v>
      </c>
      <c r="D120" s="160" t="s">
        <v>51</v>
      </c>
      <c r="E120" s="168">
        <v>19.2</v>
      </c>
      <c r="F120" s="25" t="s">
        <v>488</v>
      </c>
      <c r="G120" s="24"/>
      <c r="H120" s="162"/>
      <c r="I120" s="162"/>
      <c r="J120" s="164" t="s">
        <v>512</v>
      </c>
      <c r="K120" s="162"/>
    </row>
    <row r="121" s="1" customFormat="1" ht="18" customHeight="1" spans="1:11">
      <c r="A121" s="160">
        <v>46154</v>
      </c>
      <c r="B121" s="160" t="s">
        <v>28</v>
      </c>
      <c r="C121" s="160" t="s">
        <v>30</v>
      </c>
      <c r="D121" s="160" t="s">
        <v>59</v>
      </c>
      <c r="E121" s="168">
        <v>19</v>
      </c>
      <c r="F121" s="25" t="s">
        <v>60</v>
      </c>
      <c r="G121" s="24"/>
      <c r="H121" s="162"/>
      <c r="I121" s="162"/>
      <c r="J121" s="164" t="s">
        <v>513</v>
      </c>
      <c r="K121" s="162"/>
    </row>
    <row r="122" s="1" customFormat="1" ht="18" customHeight="1" spans="1:11">
      <c r="A122" s="160">
        <v>46154</v>
      </c>
      <c r="B122" s="160" t="s">
        <v>28</v>
      </c>
      <c r="C122" s="160" t="s">
        <v>30</v>
      </c>
      <c r="D122" s="160" t="s">
        <v>59</v>
      </c>
      <c r="E122" s="168">
        <v>19</v>
      </c>
      <c r="F122" s="25" t="s">
        <v>60</v>
      </c>
      <c r="G122" s="24"/>
      <c r="H122" s="162"/>
      <c r="I122" s="162"/>
      <c r="J122" s="164" t="s">
        <v>514</v>
      </c>
      <c r="K122" s="162"/>
    </row>
    <row r="123" s="1" customFormat="1" ht="18" customHeight="1" spans="1:11">
      <c r="A123" s="160">
        <v>46155</v>
      </c>
      <c r="B123" s="160" t="s">
        <v>61</v>
      </c>
      <c r="C123" s="160" t="s">
        <v>30</v>
      </c>
      <c r="D123" s="160" t="s">
        <v>62</v>
      </c>
      <c r="E123" s="24">
        <v>4</v>
      </c>
      <c r="F123" s="25" t="s">
        <v>63</v>
      </c>
      <c r="G123" s="24"/>
      <c r="H123" s="162"/>
      <c r="I123" s="162"/>
      <c r="J123" s="170" t="s">
        <v>515</v>
      </c>
      <c r="K123" s="162"/>
    </row>
    <row r="124" s="1" customFormat="1" ht="18" customHeight="1" spans="1:11">
      <c r="A124" s="160">
        <v>46155</v>
      </c>
      <c r="B124" s="160" t="s">
        <v>61</v>
      </c>
      <c r="C124" s="160" t="s">
        <v>64</v>
      </c>
      <c r="D124" s="160" t="s">
        <v>62</v>
      </c>
      <c r="E124" s="24">
        <v>2.5</v>
      </c>
      <c r="F124" s="25" t="s">
        <v>63</v>
      </c>
      <c r="G124" s="24"/>
      <c r="H124" s="162"/>
      <c r="I124" s="162"/>
      <c r="J124" s="171"/>
      <c r="K124" s="162"/>
    </row>
    <row r="125" s="1" customFormat="1" ht="18" customHeight="1" spans="1:11">
      <c r="A125" s="165">
        <v>46155</v>
      </c>
      <c r="B125" s="165" t="s">
        <v>28</v>
      </c>
      <c r="C125" s="165" t="s">
        <v>30</v>
      </c>
      <c r="D125" s="165" t="s">
        <v>29</v>
      </c>
      <c r="E125" s="166">
        <v>17.92</v>
      </c>
      <c r="F125" s="126" t="s">
        <v>31</v>
      </c>
      <c r="G125" s="56"/>
      <c r="H125" s="167"/>
      <c r="I125" s="167"/>
      <c r="J125" s="169" t="s">
        <v>516</v>
      </c>
      <c r="K125" s="162"/>
    </row>
    <row r="126" s="1" customFormat="1" ht="18" customHeight="1" spans="1:11">
      <c r="A126" s="165">
        <v>46155</v>
      </c>
      <c r="B126" s="165" t="s">
        <v>28</v>
      </c>
      <c r="C126" s="165" t="s">
        <v>30</v>
      </c>
      <c r="D126" s="165" t="s">
        <v>29</v>
      </c>
      <c r="E126" s="166">
        <v>17.92</v>
      </c>
      <c r="F126" s="126" t="s">
        <v>31</v>
      </c>
      <c r="G126" s="56"/>
      <c r="H126" s="167"/>
      <c r="I126" s="167"/>
      <c r="J126" s="169" t="s">
        <v>512</v>
      </c>
      <c r="K126" s="162"/>
    </row>
    <row r="127" s="1" customFormat="1" ht="18" customHeight="1" spans="1:11">
      <c r="A127" s="165">
        <v>46155</v>
      </c>
      <c r="B127" s="165" t="s">
        <v>28</v>
      </c>
      <c r="C127" s="165" t="s">
        <v>30</v>
      </c>
      <c r="D127" s="165" t="s">
        <v>29</v>
      </c>
      <c r="E127" s="166">
        <v>17.92</v>
      </c>
      <c r="F127" s="126" t="s">
        <v>31</v>
      </c>
      <c r="G127" s="56"/>
      <c r="H127" s="167"/>
      <c r="I127" s="167"/>
      <c r="J127" s="169" t="s">
        <v>517</v>
      </c>
      <c r="K127" s="162"/>
    </row>
    <row r="128" s="1" customFormat="1" ht="18" customHeight="1" spans="1:11">
      <c r="A128" s="160">
        <v>46157</v>
      </c>
      <c r="B128" s="160" t="s">
        <v>464</v>
      </c>
      <c r="C128" s="160" t="s">
        <v>502</v>
      </c>
      <c r="D128" s="160" t="s">
        <v>219</v>
      </c>
      <c r="E128" s="24">
        <v>16.32</v>
      </c>
      <c r="F128" s="25" t="s">
        <v>437</v>
      </c>
      <c r="G128" s="24"/>
      <c r="H128" s="162"/>
      <c r="I128" s="162"/>
      <c r="J128" s="171" t="s">
        <v>518</v>
      </c>
      <c r="K128" s="162"/>
    </row>
    <row r="129" s="1" customFormat="1" ht="18" customHeight="1" spans="1:11">
      <c r="A129" s="160">
        <v>46157</v>
      </c>
      <c r="B129" s="160" t="s">
        <v>464</v>
      </c>
      <c r="C129" s="160" t="s">
        <v>502</v>
      </c>
      <c r="D129" s="160" t="s">
        <v>219</v>
      </c>
      <c r="E129" s="24">
        <v>16.32</v>
      </c>
      <c r="F129" s="25" t="s">
        <v>437</v>
      </c>
      <c r="G129" s="24"/>
      <c r="H129" s="162"/>
      <c r="I129" s="162"/>
      <c r="J129" s="171" t="s">
        <v>519</v>
      </c>
      <c r="K129" s="162"/>
    </row>
    <row r="130" s="1" customFormat="1" ht="18" customHeight="1" spans="1:11">
      <c r="A130" s="160">
        <v>46158</v>
      </c>
      <c r="B130" s="160" t="s">
        <v>210</v>
      </c>
      <c r="C130" s="160" t="s">
        <v>30</v>
      </c>
      <c r="D130" s="160" t="s">
        <v>218</v>
      </c>
      <c r="E130" s="24">
        <v>19</v>
      </c>
      <c r="F130" s="25" t="s">
        <v>42</v>
      </c>
      <c r="G130" s="24"/>
      <c r="H130" s="162"/>
      <c r="I130" s="162"/>
      <c r="J130" s="171" t="s">
        <v>520</v>
      </c>
      <c r="K130" s="162"/>
    </row>
    <row r="131" s="1" customFormat="1" ht="18" customHeight="1" spans="1:11">
      <c r="A131" s="160">
        <v>46158</v>
      </c>
      <c r="B131" s="160" t="s">
        <v>464</v>
      </c>
      <c r="C131" s="160" t="s">
        <v>502</v>
      </c>
      <c r="D131" s="160" t="s">
        <v>219</v>
      </c>
      <c r="E131" s="24">
        <v>16.32</v>
      </c>
      <c r="F131" s="25" t="s">
        <v>437</v>
      </c>
      <c r="G131" s="24"/>
      <c r="H131" s="162"/>
      <c r="I131" s="162"/>
      <c r="J131" s="171" t="s">
        <v>521</v>
      </c>
      <c r="K131" s="162"/>
    </row>
    <row r="132" s="1" customFormat="1" ht="18" customHeight="1" spans="1:11">
      <c r="A132" s="160">
        <v>46158</v>
      </c>
      <c r="B132" s="160" t="s">
        <v>464</v>
      </c>
      <c r="C132" s="160" t="s">
        <v>502</v>
      </c>
      <c r="D132" s="160" t="s">
        <v>219</v>
      </c>
      <c r="E132" s="24">
        <v>16.32</v>
      </c>
      <c r="F132" s="25" t="s">
        <v>437</v>
      </c>
      <c r="G132" s="24"/>
      <c r="H132" s="162"/>
      <c r="I132" s="162"/>
      <c r="J132" s="171" t="s">
        <v>522</v>
      </c>
      <c r="K132" s="162"/>
    </row>
    <row r="133" s="1" customFormat="1" ht="18" customHeight="1" spans="1:11">
      <c r="A133" s="160">
        <v>46163</v>
      </c>
      <c r="B133" s="160" t="s">
        <v>165</v>
      </c>
      <c r="C133" s="160" t="s">
        <v>30</v>
      </c>
      <c r="D133" s="160" t="s">
        <v>223</v>
      </c>
      <c r="E133" s="24">
        <v>17.92</v>
      </c>
      <c r="F133" s="25" t="s">
        <v>224</v>
      </c>
      <c r="G133" s="24"/>
      <c r="H133" s="162"/>
      <c r="I133" s="162"/>
      <c r="J133" s="171" t="s">
        <v>442</v>
      </c>
      <c r="K133" s="162"/>
    </row>
    <row r="134" s="1" customFormat="1" ht="18" customHeight="1" spans="1:11">
      <c r="A134" s="160">
        <v>46163</v>
      </c>
      <c r="B134" s="160" t="s">
        <v>165</v>
      </c>
      <c r="C134" s="160" t="s">
        <v>30</v>
      </c>
      <c r="D134" s="160" t="s">
        <v>223</v>
      </c>
      <c r="E134" s="24">
        <v>17.92</v>
      </c>
      <c r="F134" s="25" t="s">
        <v>224</v>
      </c>
      <c r="G134" s="24"/>
      <c r="H134" s="162"/>
      <c r="I134" s="162"/>
      <c r="J134" s="171" t="s">
        <v>523</v>
      </c>
      <c r="K134" s="162"/>
    </row>
    <row r="135" s="1" customFormat="1" ht="18" customHeight="1" spans="1:11">
      <c r="A135" s="160">
        <v>46164</v>
      </c>
      <c r="B135" s="160" t="s">
        <v>66</v>
      </c>
      <c r="C135" s="160" t="s">
        <v>41</v>
      </c>
      <c r="D135" s="160" t="s">
        <v>67</v>
      </c>
      <c r="E135" s="168">
        <v>17.92</v>
      </c>
      <c r="F135" s="25" t="s">
        <v>161</v>
      </c>
      <c r="G135" s="24"/>
      <c r="H135" s="162"/>
      <c r="I135" s="162"/>
      <c r="J135" s="171" t="s">
        <v>524</v>
      </c>
      <c r="K135" s="162"/>
    </row>
    <row r="136" s="1" customFormat="1" ht="18" customHeight="1" spans="1:11">
      <c r="A136" s="160">
        <v>46164</v>
      </c>
      <c r="B136" s="160" t="s">
        <v>66</v>
      </c>
      <c r="C136" s="160" t="s">
        <v>41</v>
      </c>
      <c r="D136" s="160" t="s">
        <v>67</v>
      </c>
      <c r="E136" s="168">
        <v>17.92</v>
      </c>
      <c r="F136" s="25" t="s">
        <v>161</v>
      </c>
      <c r="G136" s="24"/>
      <c r="H136" s="162"/>
      <c r="I136" s="162"/>
      <c r="J136" s="171" t="s">
        <v>525</v>
      </c>
      <c r="K136" s="162"/>
    </row>
    <row r="137" s="1" customFormat="1" ht="18" customHeight="1" spans="1:11">
      <c r="A137" s="160">
        <v>46164</v>
      </c>
      <c r="B137" s="160" t="s">
        <v>66</v>
      </c>
      <c r="C137" s="160" t="s">
        <v>41</v>
      </c>
      <c r="D137" s="160" t="s">
        <v>67</v>
      </c>
      <c r="E137" s="168">
        <v>17.92</v>
      </c>
      <c r="F137" s="25" t="s">
        <v>161</v>
      </c>
      <c r="G137" s="24"/>
      <c r="H137" s="162"/>
      <c r="I137" s="162"/>
      <c r="J137" s="171" t="s">
        <v>526</v>
      </c>
      <c r="K137" s="162"/>
    </row>
    <row r="138" s="1" customFormat="1" ht="18" customHeight="1" spans="1:11">
      <c r="A138" s="160">
        <v>46166</v>
      </c>
      <c r="B138" s="160" t="s">
        <v>220</v>
      </c>
      <c r="C138" s="160" t="s">
        <v>215</v>
      </c>
      <c r="D138" s="160" t="s">
        <v>221</v>
      </c>
      <c r="E138" s="168">
        <v>22.4</v>
      </c>
      <c r="F138" s="25" t="s">
        <v>222</v>
      </c>
      <c r="G138" s="24"/>
      <c r="H138" s="162"/>
      <c r="I138" s="162"/>
      <c r="J138" s="171" t="s">
        <v>527</v>
      </c>
      <c r="K138" s="162"/>
    </row>
    <row r="139" s="1" customFormat="1" ht="18" customHeight="1" spans="1:11">
      <c r="A139" s="160">
        <v>46166</v>
      </c>
      <c r="B139" s="160" t="s">
        <v>220</v>
      </c>
      <c r="C139" s="160" t="s">
        <v>215</v>
      </c>
      <c r="D139" s="160" t="s">
        <v>221</v>
      </c>
      <c r="E139" s="168">
        <v>22.4</v>
      </c>
      <c r="F139" s="25" t="s">
        <v>222</v>
      </c>
      <c r="G139" s="24"/>
      <c r="H139" s="162"/>
      <c r="I139" s="162"/>
      <c r="J139" s="171" t="s">
        <v>528</v>
      </c>
      <c r="K139" s="162"/>
    </row>
    <row r="140" s="1" customFormat="1" ht="18" customHeight="1" spans="1:11">
      <c r="A140" s="160">
        <v>46167</v>
      </c>
      <c r="B140" s="160" t="s">
        <v>28</v>
      </c>
      <c r="C140" s="160" t="s">
        <v>30</v>
      </c>
      <c r="D140" s="160" t="s">
        <v>29</v>
      </c>
      <c r="E140" s="168">
        <v>17.92</v>
      </c>
      <c r="F140" s="25" t="s">
        <v>31</v>
      </c>
      <c r="G140" s="24"/>
      <c r="H140" s="162"/>
      <c r="I140" s="162"/>
      <c r="J140" s="171" t="s">
        <v>495</v>
      </c>
      <c r="K140" s="162"/>
    </row>
    <row r="141" s="1" customFormat="1" ht="18" customHeight="1" spans="1:11">
      <c r="A141" s="160">
        <v>46167</v>
      </c>
      <c r="B141" s="160" t="s">
        <v>28</v>
      </c>
      <c r="C141" s="160" t="s">
        <v>30</v>
      </c>
      <c r="D141" s="160" t="s">
        <v>29</v>
      </c>
      <c r="E141" s="168">
        <v>17.92</v>
      </c>
      <c r="F141" s="25" t="s">
        <v>31</v>
      </c>
      <c r="G141" s="24"/>
      <c r="H141" s="162"/>
      <c r="I141" s="162"/>
      <c r="J141" s="171" t="s">
        <v>498</v>
      </c>
      <c r="K141" s="162"/>
    </row>
    <row r="142" s="1" customFormat="1" ht="18" customHeight="1" spans="1:11">
      <c r="A142" s="160">
        <v>46167</v>
      </c>
      <c r="B142" s="160" t="s">
        <v>28</v>
      </c>
      <c r="C142" s="160" t="s">
        <v>30</v>
      </c>
      <c r="D142" s="160" t="s">
        <v>29</v>
      </c>
      <c r="E142" s="168">
        <v>17.92</v>
      </c>
      <c r="F142" s="25" t="s">
        <v>31</v>
      </c>
      <c r="G142" s="24"/>
      <c r="H142" s="162"/>
      <c r="I142" s="162"/>
      <c r="J142" s="171" t="s">
        <v>529</v>
      </c>
      <c r="K142" s="162"/>
    </row>
    <row r="143" s="1" customFormat="1" ht="18" customHeight="1" spans="1:11">
      <c r="A143" s="160">
        <v>46167</v>
      </c>
      <c r="B143" s="160" t="s">
        <v>28</v>
      </c>
      <c r="C143" s="160" t="s">
        <v>30</v>
      </c>
      <c r="D143" s="160" t="s">
        <v>29</v>
      </c>
      <c r="E143" s="168">
        <v>17.92</v>
      </c>
      <c r="F143" s="25" t="s">
        <v>31</v>
      </c>
      <c r="G143" s="24"/>
      <c r="H143" s="162"/>
      <c r="I143" s="162"/>
      <c r="J143" s="171" t="s">
        <v>495</v>
      </c>
      <c r="K143" s="162"/>
    </row>
    <row r="144" s="1" customFormat="1" ht="18" customHeight="1" spans="1:11">
      <c r="A144" s="160">
        <v>46167</v>
      </c>
      <c r="B144" s="160" t="s">
        <v>28</v>
      </c>
      <c r="C144" s="160" t="s">
        <v>30</v>
      </c>
      <c r="D144" s="160" t="s">
        <v>29</v>
      </c>
      <c r="E144" s="168">
        <v>17.92</v>
      </c>
      <c r="F144" s="25" t="s">
        <v>31</v>
      </c>
      <c r="G144" s="24"/>
      <c r="H144" s="162"/>
      <c r="I144" s="162"/>
      <c r="J144" s="171" t="s">
        <v>498</v>
      </c>
      <c r="K144" s="162"/>
    </row>
    <row r="145" s="1" customFormat="1" ht="18" customHeight="1" spans="1:11">
      <c r="A145" s="160">
        <v>46167</v>
      </c>
      <c r="B145" s="160" t="s">
        <v>28</v>
      </c>
      <c r="C145" s="160" t="s">
        <v>30</v>
      </c>
      <c r="D145" s="160" t="s">
        <v>29</v>
      </c>
      <c r="E145" s="168">
        <v>17.92</v>
      </c>
      <c r="F145" s="25" t="s">
        <v>31</v>
      </c>
      <c r="G145" s="24"/>
      <c r="H145" s="162"/>
      <c r="I145" s="162"/>
      <c r="J145" s="171" t="s">
        <v>529</v>
      </c>
      <c r="K145" s="162"/>
    </row>
    <row r="146" s="1" customFormat="1" ht="18" customHeight="1" spans="1:11">
      <c r="A146" s="160">
        <v>46168</v>
      </c>
      <c r="B146" s="160" t="s">
        <v>28</v>
      </c>
      <c r="C146" s="160" t="s">
        <v>30</v>
      </c>
      <c r="D146" s="160" t="s">
        <v>29</v>
      </c>
      <c r="E146" s="168">
        <v>17.92</v>
      </c>
      <c r="F146" s="25" t="s">
        <v>31</v>
      </c>
      <c r="G146" s="24"/>
      <c r="H146" s="162"/>
      <c r="I146" s="162"/>
      <c r="J146" s="171" t="s">
        <v>495</v>
      </c>
      <c r="K146" s="162"/>
    </row>
    <row r="147" s="1" customFormat="1" ht="18" customHeight="1" spans="1:11">
      <c r="A147" s="160">
        <v>46168</v>
      </c>
      <c r="B147" s="160" t="s">
        <v>28</v>
      </c>
      <c r="C147" s="160" t="s">
        <v>30</v>
      </c>
      <c r="D147" s="160" t="s">
        <v>29</v>
      </c>
      <c r="E147" s="168">
        <v>17.92</v>
      </c>
      <c r="F147" s="25" t="s">
        <v>31</v>
      </c>
      <c r="G147" s="24"/>
      <c r="H147" s="162"/>
      <c r="I147" s="162"/>
      <c r="J147" s="171" t="s">
        <v>498</v>
      </c>
      <c r="K147" s="162"/>
    </row>
    <row r="148" s="1" customFormat="1" ht="18" customHeight="1" spans="1:11">
      <c r="A148" s="160">
        <v>46168</v>
      </c>
      <c r="B148" s="160" t="s">
        <v>28</v>
      </c>
      <c r="C148" s="160" t="s">
        <v>30</v>
      </c>
      <c r="D148" s="160" t="s">
        <v>29</v>
      </c>
      <c r="E148" s="168">
        <v>17.92</v>
      </c>
      <c r="F148" s="25" t="s">
        <v>31</v>
      </c>
      <c r="G148" s="24"/>
      <c r="H148" s="162"/>
      <c r="I148" s="162"/>
      <c r="J148" s="171" t="s">
        <v>529</v>
      </c>
      <c r="K148" s="162"/>
    </row>
    <row r="149" s="1" customFormat="1" ht="18" customHeight="1" spans="1:11">
      <c r="A149" s="160">
        <v>46168</v>
      </c>
      <c r="B149" s="160" t="s">
        <v>28</v>
      </c>
      <c r="C149" s="160" t="s">
        <v>30</v>
      </c>
      <c r="D149" s="160" t="s">
        <v>29</v>
      </c>
      <c r="E149" s="168">
        <v>17.92</v>
      </c>
      <c r="F149" s="25" t="s">
        <v>31</v>
      </c>
      <c r="G149" s="24"/>
      <c r="H149" s="162"/>
      <c r="I149" s="162"/>
      <c r="J149" s="171" t="s">
        <v>530</v>
      </c>
      <c r="K149" s="162"/>
    </row>
    <row r="150" s="1" customFormat="1" ht="18" customHeight="1" spans="1:11">
      <c r="A150" s="160">
        <v>46168</v>
      </c>
      <c r="B150" s="160" t="s">
        <v>28</v>
      </c>
      <c r="C150" s="160" t="s">
        <v>30</v>
      </c>
      <c r="D150" s="160" t="s">
        <v>29</v>
      </c>
      <c r="E150" s="168">
        <v>17.92</v>
      </c>
      <c r="F150" s="25" t="s">
        <v>31</v>
      </c>
      <c r="G150" s="24"/>
      <c r="H150" s="162"/>
      <c r="I150" s="162"/>
      <c r="J150" s="171" t="s">
        <v>498</v>
      </c>
      <c r="K150" s="162"/>
    </row>
    <row r="151" s="1" customFormat="1" ht="18" customHeight="1" spans="1:11">
      <c r="A151" s="160">
        <v>46168</v>
      </c>
      <c r="B151" s="160" t="s">
        <v>28</v>
      </c>
      <c r="C151" s="160" t="s">
        <v>30</v>
      </c>
      <c r="D151" s="160" t="s">
        <v>29</v>
      </c>
      <c r="E151" s="168">
        <v>17.92</v>
      </c>
      <c r="F151" s="25" t="s">
        <v>31</v>
      </c>
      <c r="G151" s="24"/>
      <c r="H151" s="162"/>
      <c r="I151" s="162"/>
      <c r="J151" s="171" t="s">
        <v>495</v>
      </c>
      <c r="K151" s="162"/>
    </row>
    <row r="152" s="1" customFormat="1" ht="18" customHeight="1" spans="1:11">
      <c r="A152" s="160">
        <v>46169</v>
      </c>
      <c r="B152" s="160" t="s">
        <v>165</v>
      </c>
      <c r="C152" s="160" t="s">
        <v>225</v>
      </c>
      <c r="D152" s="160" t="s">
        <v>223</v>
      </c>
      <c r="E152" s="168">
        <v>19.2</v>
      </c>
      <c r="F152" s="25" t="s">
        <v>224</v>
      </c>
      <c r="G152" s="24"/>
      <c r="H152" s="162"/>
      <c r="I152" s="162"/>
      <c r="J152" s="171" t="s">
        <v>429</v>
      </c>
      <c r="K152" s="162"/>
    </row>
    <row r="153" s="1" customFormat="1" ht="18" customHeight="1" spans="1:11">
      <c r="A153" s="160">
        <v>46169</v>
      </c>
      <c r="B153" s="160" t="s">
        <v>28</v>
      </c>
      <c r="C153" s="160" t="s">
        <v>41</v>
      </c>
      <c r="D153" s="160" t="s">
        <v>51</v>
      </c>
      <c r="E153" s="168">
        <v>19.2</v>
      </c>
      <c r="F153" s="25" t="s">
        <v>531</v>
      </c>
      <c r="G153" s="24"/>
      <c r="H153" s="162"/>
      <c r="I153" s="162"/>
      <c r="J153" s="171" t="s">
        <v>532</v>
      </c>
      <c r="K153" s="162"/>
    </row>
    <row r="154" s="1" customFormat="1" ht="18" customHeight="1" spans="1:11">
      <c r="A154" s="160">
        <v>46169</v>
      </c>
      <c r="B154" s="160" t="s">
        <v>28</v>
      </c>
      <c r="C154" s="160" t="s">
        <v>41</v>
      </c>
      <c r="D154" s="160" t="s">
        <v>51</v>
      </c>
      <c r="E154" s="168">
        <v>19.2</v>
      </c>
      <c r="F154" s="25" t="s">
        <v>533</v>
      </c>
      <c r="G154" s="24"/>
      <c r="H154" s="162"/>
      <c r="I154" s="162"/>
      <c r="J154" s="171" t="s">
        <v>534</v>
      </c>
      <c r="K154" s="162"/>
    </row>
    <row r="155" s="1" customFormat="1" ht="18" customHeight="1" spans="1:11">
      <c r="A155" s="160">
        <v>46170</v>
      </c>
      <c r="B155" s="160" t="s">
        <v>28</v>
      </c>
      <c r="C155" s="160" t="s">
        <v>41</v>
      </c>
      <c r="D155" s="160" t="s">
        <v>51</v>
      </c>
      <c r="E155" s="168">
        <v>19.2</v>
      </c>
      <c r="F155" s="25" t="s">
        <v>531</v>
      </c>
      <c r="G155" s="24"/>
      <c r="H155" s="162"/>
      <c r="I155" s="162"/>
      <c r="J155" s="171" t="s">
        <v>495</v>
      </c>
      <c r="K155" s="162"/>
    </row>
    <row r="156" s="1" customFormat="1" ht="18" customHeight="1" spans="1:11">
      <c r="A156" s="160">
        <v>46170</v>
      </c>
      <c r="B156" s="160" t="s">
        <v>28</v>
      </c>
      <c r="C156" s="160" t="s">
        <v>41</v>
      </c>
      <c r="D156" s="160" t="s">
        <v>51</v>
      </c>
      <c r="E156" s="168">
        <v>19.2</v>
      </c>
      <c r="F156" s="25" t="s">
        <v>531</v>
      </c>
      <c r="G156" s="24"/>
      <c r="H156" s="162"/>
      <c r="I156" s="162"/>
      <c r="J156" s="171" t="s">
        <v>535</v>
      </c>
      <c r="K156" s="162"/>
    </row>
    <row r="157" s="1" customFormat="1" ht="18" customHeight="1" spans="1:11">
      <c r="A157" s="160">
        <v>46170</v>
      </c>
      <c r="B157" s="160" t="s">
        <v>28</v>
      </c>
      <c r="C157" s="160" t="s">
        <v>41</v>
      </c>
      <c r="D157" s="160" t="s">
        <v>51</v>
      </c>
      <c r="E157" s="168">
        <v>19.2</v>
      </c>
      <c r="F157" s="25" t="s">
        <v>531</v>
      </c>
      <c r="G157" s="24"/>
      <c r="H157" s="162"/>
      <c r="I157" s="162"/>
      <c r="J157" s="171" t="s">
        <v>495</v>
      </c>
      <c r="K157" s="162"/>
    </row>
    <row r="158" s="1" customFormat="1" ht="18" customHeight="1" spans="1:11">
      <c r="A158" s="160">
        <v>46170</v>
      </c>
      <c r="B158" s="160" t="s">
        <v>28</v>
      </c>
      <c r="C158" s="160" t="s">
        <v>41</v>
      </c>
      <c r="D158" s="160" t="s">
        <v>51</v>
      </c>
      <c r="E158" s="168">
        <v>19.2</v>
      </c>
      <c r="F158" s="25" t="s">
        <v>531</v>
      </c>
      <c r="G158" s="24"/>
      <c r="H158" s="162"/>
      <c r="I158" s="162"/>
      <c r="J158" s="171" t="s">
        <v>536</v>
      </c>
      <c r="K158" s="162"/>
    </row>
    <row r="159" s="1" customFormat="1" ht="18" customHeight="1" spans="1:11">
      <c r="A159" s="160">
        <v>46170</v>
      </c>
      <c r="B159" s="160" t="s">
        <v>28</v>
      </c>
      <c r="C159" s="160" t="s">
        <v>41</v>
      </c>
      <c r="D159" s="160" t="s">
        <v>51</v>
      </c>
      <c r="E159" s="168">
        <v>19.2</v>
      </c>
      <c r="F159" s="25" t="s">
        <v>531</v>
      </c>
      <c r="G159" s="24"/>
      <c r="H159" s="162"/>
      <c r="I159" s="162"/>
      <c r="J159" s="171" t="s">
        <v>537</v>
      </c>
      <c r="K159" s="162"/>
    </row>
    <row r="160" s="1" customFormat="1" ht="18" customHeight="1" spans="1:11">
      <c r="A160" s="160">
        <v>46171</v>
      </c>
      <c r="B160" s="160" t="s">
        <v>165</v>
      </c>
      <c r="C160" s="160" t="s">
        <v>30</v>
      </c>
      <c r="D160" s="160" t="s">
        <v>223</v>
      </c>
      <c r="E160" s="168">
        <v>19.2</v>
      </c>
      <c r="F160" s="25" t="s">
        <v>224</v>
      </c>
      <c r="G160" s="24"/>
      <c r="H160" s="162"/>
      <c r="I160" s="162"/>
      <c r="J160" s="171" t="s">
        <v>538</v>
      </c>
      <c r="K160" s="162"/>
    </row>
    <row r="161" s="1" customFormat="1" ht="18" customHeight="1" spans="1:11">
      <c r="A161" s="160">
        <v>46171</v>
      </c>
      <c r="B161" s="160" t="s">
        <v>28</v>
      </c>
      <c r="C161" s="160" t="s">
        <v>30</v>
      </c>
      <c r="D161" s="160" t="s">
        <v>29</v>
      </c>
      <c r="E161" s="168">
        <v>17.92</v>
      </c>
      <c r="F161" s="25" t="s">
        <v>31</v>
      </c>
      <c r="G161" s="24"/>
      <c r="H161" s="162"/>
      <c r="I161" s="162"/>
      <c r="J161" s="171" t="s">
        <v>539</v>
      </c>
      <c r="K161" s="162"/>
    </row>
    <row r="162" s="1" customFormat="1" ht="18" customHeight="1" spans="1:11">
      <c r="A162" s="160">
        <v>46172</v>
      </c>
      <c r="B162" s="160" t="s">
        <v>28</v>
      </c>
      <c r="C162" s="160" t="s">
        <v>41</v>
      </c>
      <c r="D162" s="160" t="s">
        <v>51</v>
      </c>
      <c r="E162" s="168">
        <v>19.2</v>
      </c>
      <c r="F162" s="25" t="s">
        <v>531</v>
      </c>
      <c r="G162" s="24"/>
      <c r="H162" s="162"/>
      <c r="I162" s="162"/>
      <c r="J162" s="171" t="s">
        <v>540</v>
      </c>
      <c r="K162" s="162"/>
    </row>
    <row r="163" s="1" customFormat="1" ht="18" customHeight="1" spans="1:11">
      <c r="A163" s="160">
        <v>46172</v>
      </c>
      <c r="B163" s="160" t="s">
        <v>28</v>
      </c>
      <c r="C163" s="160" t="s">
        <v>41</v>
      </c>
      <c r="D163" s="160" t="s">
        <v>51</v>
      </c>
      <c r="E163" s="168">
        <v>19.2</v>
      </c>
      <c r="F163" s="25" t="s">
        <v>531</v>
      </c>
      <c r="G163" s="24"/>
      <c r="H163" s="162"/>
      <c r="I163" s="162"/>
      <c r="J163" s="171" t="s">
        <v>541</v>
      </c>
      <c r="K163" s="162"/>
    </row>
    <row r="164" s="1" customFormat="1" ht="18" customHeight="1" spans="1:11">
      <c r="A164" s="160">
        <v>46172</v>
      </c>
      <c r="B164" s="160" t="s">
        <v>28</v>
      </c>
      <c r="C164" s="160" t="s">
        <v>41</v>
      </c>
      <c r="D164" s="160" t="s">
        <v>51</v>
      </c>
      <c r="E164" s="168">
        <v>19.2</v>
      </c>
      <c r="F164" s="25" t="s">
        <v>531</v>
      </c>
      <c r="G164" s="24"/>
      <c r="H164" s="162"/>
      <c r="I164" s="162"/>
      <c r="J164" s="171" t="s">
        <v>542</v>
      </c>
      <c r="K164" s="162"/>
    </row>
    <row r="165" s="1" customFormat="1" ht="18" customHeight="1" spans="1:11">
      <c r="A165" s="160">
        <v>46172</v>
      </c>
      <c r="B165" s="160" t="s">
        <v>28</v>
      </c>
      <c r="C165" s="160" t="s">
        <v>41</v>
      </c>
      <c r="D165" s="160" t="s">
        <v>51</v>
      </c>
      <c r="E165" s="168">
        <v>19.2</v>
      </c>
      <c r="F165" s="25" t="s">
        <v>531</v>
      </c>
      <c r="G165" s="24"/>
      <c r="H165" s="162"/>
      <c r="I165" s="162"/>
      <c r="J165" s="171" t="s">
        <v>495</v>
      </c>
      <c r="K165" s="162"/>
    </row>
    <row r="166" s="1" customFormat="1" ht="18" customHeight="1" spans="1:11">
      <c r="A166" s="160">
        <v>46172</v>
      </c>
      <c r="B166" s="160" t="s">
        <v>28</v>
      </c>
      <c r="C166" s="160" t="s">
        <v>41</v>
      </c>
      <c r="D166" s="160" t="s">
        <v>51</v>
      </c>
      <c r="E166" s="168">
        <v>19.2</v>
      </c>
      <c r="F166" s="25" t="s">
        <v>531</v>
      </c>
      <c r="G166" s="24"/>
      <c r="H166" s="162"/>
      <c r="I166" s="162"/>
      <c r="J166" s="171" t="s">
        <v>543</v>
      </c>
      <c r="K166" s="162"/>
    </row>
    <row r="167" s="1" customFormat="1" ht="18" customHeight="1" spans="1:11">
      <c r="A167" s="160">
        <v>46172</v>
      </c>
      <c r="B167" s="160" t="s">
        <v>28</v>
      </c>
      <c r="C167" s="160" t="s">
        <v>41</v>
      </c>
      <c r="D167" s="160" t="s">
        <v>51</v>
      </c>
      <c r="E167" s="168">
        <v>19.2</v>
      </c>
      <c r="F167" s="25" t="s">
        <v>531</v>
      </c>
      <c r="G167" s="24"/>
      <c r="H167" s="162"/>
      <c r="I167" s="162"/>
      <c r="J167" s="171" t="s">
        <v>544</v>
      </c>
      <c r="K167" s="162"/>
    </row>
    <row r="168" s="1" customFormat="1" ht="18" customHeight="1" spans="1:11">
      <c r="A168" s="160">
        <v>46172</v>
      </c>
      <c r="B168" s="160" t="s">
        <v>28</v>
      </c>
      <c r="C168" s="160" t="s">
        <v>41</v>
      </c>
      <c r="D168" s="160" t="s">
        <v>51</v>
      </c>
      <c r="E168" s="168">
        <v>19.2</v>
      </c>
      <c r="F168" s="25" t="s">
        <v>531</v>
      </c>
      <c r="G168" s="24"/>
      <c r="H168" s="162"/>
      <c r="I168" s="162"/>
      <c r="J168" s="171" t="s">
        <v>545</v>
      </c>
      <c r="K168" s="162"/>
    </row>
    <row r="169" s="1" customFormat="1" ht="18" customHeight="1" spans="1:11">
      <c r="A169" s="160">
        <v>46173</v>
      </c>
      <c r="B169" s="160" t="s">
        <v>66</v>
      </c>
      <c r="C169" s="160" t="s">
        <v>41</v>
      </c>
      <c r="D169" s="160" t="s">
        <v>67</v>
      </c>
      <c r="E169" s="168">
        <v>20.88</v>
      </c>
      <c r="F169" s="25" t="s">
        <v>68</v>
      </c>
      <c r="G169" s="24"/>
      <c r="H169" s="162"/>
      <c r="I169" s="162"/>
      <c r="J169" s="171" t="s">
        <v>439</v>
      </c>
      <c r="K169" s="162"/>
    </row>
    <row r="170" s="1" customFormat="1" ht="18" customHeight="1" spans="1:11">
      <c r="A170" s="160">
        <v>46173</v>
      </c>
      <c r="B170" s="160" t="s">
        <v>66</v>
      </c>
      <c r="C170" s="160" t="s">
        <v>41</v>
      </c>
      <c r="D170" s="160" t="s">
        <v>67</v>
      </c>
      <c r="E170" s="168">
        <v>20.48</v>
      </c>
      <c r="F170" s="25" t="s">
        <v>68</v>
      </c>
      <c r="G170" s="24"/>
      <c r="H170" s="162"/>
      <c r="I170" s="162"/>
      <c r="J170" s="171" t="s">
        <v>546</v>
      </c>
      <c r="K170" s="162"/>
    </row>
    <row r="171" s="1" customFormat="1" ht="18" customHeight="1" spans="1:11">
      <c r="A171" s="160">
        <v>46173</v>
      </c>
      <c r="B171" s="160" t="s">
        <v>28</v>
      </c>
      <c r="C171" s="160" t="s">
        <v>41</v>
      </c>
      <c r="D171" s="160" t="s">
        <v>51</v>
      </c>
      <c r="E171" s="168">
        <v>19.2</v>
      </c>
      <c r="F171" s="25" t="s">
        <v>531</v>
      </c>
      <c r="G171" s="24"/>
      <c r="H171" s="162"/>
      <c r="I171" s="162"/>
      <c r="J171" s="171" t="s">
        <v>499</v>
      </c>
      <c r="K171" s="162"/>
    </row>
    <row r="172" s="1" customFormat="1" ht="18" customHeight="1" spans="1:11">
      <c r="A172" s="160">
        <v>46173</v>
      </c>
      <c r="B172" s="160" t="s">
        <v>28</v>
      </c>
      <c r="C172" s="160" t="s">
        <v>41</v>
      </c>
      <c r="D172" s="160" t="s">
        <v>51</v>
      </c>
      <c r="E172" s="168">
        <v>19.2</v>
      </c>
      <c r="F172" s="25" t="s">
        <v>531</v>
      </c>
      <c r="G172" s="24"/>
      <c r="H172" s="162"/>
      <c r="I172" s="162"/>
      <c r="J172" s="171" t="s">
        <v>547</v>
      </c>
      <c r="K172" s="162"/>
    </row>
    <row r="173" s="1" customFormat="1" ht="18" customHeight="1" spans="1:11">
      <c r="A173" s="160">
        <v>46173</v>
      </c>
      <c r="B173" s="160" t="s">
        <v>28</v>
      </c>
      <c r="C173" s="160" t="s">
        <v>41</v>
      </c>
      <c r="D173" s="160" t="s">
        <v>51</v>
      </c>
      <c r="E173" s="168">
        <v>19.2</v>
      </c>
      <c r="F173" s="25" t="s">
        <v>531</v>
      </c>
      <c r="G173" s="24"/>
      <c r="H173" s="162"/>
      <c r="I173" s="162"/>
      <c r="J173" s="171" t="s">
        <v>499</v>
      </c>
      <c r="K173" s="162"/>
    </row>
    <row r="174" s="1" customFormat="1" ht="18" customHeight="1" spans="1:11">
      <c r="A174" s="160">
        <v>46174</v>
      </c>
      <c r="B174" s="160" t="s">
        <v>28</v>
      </c>
      <c r="C174" s="160" t="s">
        <v>41</v>
      </c>
      <c r="D174" s="160" t="s">
        <v>70</v>
      </c>
      <c r="E174" s="168">
        <v>24.4</v>
      </c>
      <c r="F174" s="25" t="s">
        <v>548</v>
      </c>
      <c r="G174" s="24"/>
      <c r="H174" s="162"/>
      <c r="I174" s="162"/>
      <c r="J174" s="164" t="s">
        <v>549</v>
      </c>
      <c r="K174" s="162" t="s">
        <v>550</v>
      </c>
    </row>
    <row r="175" s="1" customFormat="1" ht="18" customHeight="1" spans="1:11">
      <c r="A175" s="160">
        <v>46174</v>
      </c>
      <c r="B175" s="160" t="s">
        <v>66</v>
      </c>
      <c r="C175" s="160" t="s">
        <v>41</v>
      </c>
      <c r="D175" s="160" t="s">
        <v>67</v>
      </c>
      <c r="E175" s="168">
        <v>4.88</v>
      </c>
      <c r="F175" s="25" t="s">
        <v>551</v>
      </c>
      <c r="G175" s="24"/>
      <c r="H175" s="162"/>
      <c r="I175" s="162"/>
      <c r="J175" s="170" t="s">
        <v>429</v>
      </c>
      <c r="K175" s="162"/>
    </row>
    <row r="176" s="1" customFormat="1" ht="18" customHeight="1" spans="1:11">
      <c r="A176" s="160">
        <v>46174</v>
      </c>
      <c r="B176" s="160" t="s">
        <v>66</v>
      </c>
      <c r="C176" s="160" t="s">
        <v>41</v>
      </c>
      <c r="D176" s="160" t="s">
        <v>73</v>
      </c>
      <c r="E176" s="168">
        <v>16.52</v>
      </c>
      <c r="F176" s="25" t="s">
        <v>551</v>
      </c>
      <c r="G176" s="24"/>
      <c r="H176" s="162"/>
      <c r="I176" s="162"/>
      <c r="J176" s="171"/>
      <c r="K176" s="162"/>
    </row>
    <row r="177" s="1" customFormat="1" ht="18" customHeight="1" spans="1:11">
      <c r="A177" s="160">
        <v>46174</v>
      </c>
      <c r="B177" s="160" t="s">
        <v>66</v>
      </c>
      <c r="C177" s="160" t="s">
        <v>41</v>
      </c>
      <c r="D177" s="160" t="s">
        <v>73</v>
      </c>
      <c r="E177" s="168">
        <v>21.48</v>
      </c>
      <c r="F177" s="25" t="s">
        <v>551</v>
      </c>
      <c r="G177" s="24"/>
      <c r="H177" s="162"/>
      <c r="I177" s="162"/>
      <c r="J177" s="171" t="s">
        <v>552</v>
      </c>
      <c r="K177" s="162"/>
    </row>
    <row r="178" s="1" customFormat="1" ht="18" customHeight="1" spans="1:11">
      <c r="A178" s="160">
        <v>46175</v>
      </c>
      <c r="B178" s="160" t="s">
        <v>66</v>
      </c>
      <c r="C178" s="160" t="s">
        <v>41</v>
      </c>
      <c r="D178" s="160" t="s">
        <v>73</v>
      </c>
      <c r="E178" s="168">
        <v>20.88</v>
      </c>
      <c r="F178" s="25" t="s">
        <v>551</v>
      </c>
      <c r="G178" s="24"/>
      <c r="H178" s="162"/>
      <c r="I178" s="162"/>
      <c r="J178" s="171" t="s">
        <v>428</v>
      </c>
      <c r="K178" s="162"/>
    </row>
    <row r="179" s="1" customFormat="1" ht="18" customHeight="1" spans="1:11">
      <c r="A179" s="160">
        <v>46175</v>
      </c>
      <c r="B179" s="160" t="s">
        <v>165</v>
      </c>
      <c r="C179" s="160" t="s">
        <v>30</v>
      </c>
      <c r="D179" s="160" t="s">
        <v>223</v>
      </c>
      <c r="E179" s="168">
        <v>17.92</v>
      </c>
      <c r="F179" s="25" t="s">
        <v>224</v>
      </c>
      <c r="G179" s="24"/>
      <c r="H179" s="162"/>
      <c r="I179" s="162"/>
      <c r="J179" s="171" t="s">
        <v>429</v>
      </c>
      <c r="K179" s="162"/>
    </row>
    <row r="180" s="1" customFormat="1" ht="18" customHeight="1" spans="1:11">
      <c r="A180" s="160">
        <v>46177</v>
      </c>
      <c r="B180" s="160" t="s">
        <v>165</v>
      </c>
      <c r="C180" s="160" t="s">
        <v>225</v>
      </c>
      <c r="D180" s="160" t="s">
        <v>223</v>
      </c>
      <c r="E180" s="168">
        <v>19.2</v>
      </c>
      <c r="F180" s="25" t="s">
        <v>224</v>
      </c>
      <c r="G180" s="24"/>
      <c r="H180" s="162"/>
      <c r="I180" s="162"/>
      <c r="J180" s="171" t="s">
        <v>429</v>
      </c>
      <c r="K180" s="162"/>
    </row>
    <row r="181" s="1" customFormat="1" ht="18" customHeight="1" spans="1:11">
      <c r="A181" s="160">
        <v>46177</v>
      </c>
      <c r="B181" s="160" t="s">
        <v>165</v>
      </c>
      <c r="C181" s="160" t="s">
        <v>225</v>
      </c>
      <c r="D181" s="160" t="s">
        <v>223</v>
      </c>
      <c r="E181" s="168">
        <v>19.2</v>
      </c>
      <c r="F181" s="25" t="s">
        <v>224</v>
      </c>
      <c r="G181" s="24"/>
      <c r="H181" s="162"/>
      <c r="I181" s="162"/>
      <c r="J181" s="171" t="s">
        <v>429</v>
      </c>
      <c r="K181" s="162"/>
    </row>
    <row r="182" s="1" customFormat="1" ht="18" customHeight="1" spans="1:11">
      <c r="A182" s="160">
        <v>46178</v>
      </c>
      <c r="B182" s="160" t="s">
        <v>165</v>
      </c>
      <c r="C182" s="160" t="s">
        <v>225</v>
      </c>
      <c r="D182" s="160" t="s">
        <v>223</v>
      </c>
      <c r="E182" s="168">
        <v>19.2</v>
      </c>
      <c r="F182" s="25" t="s">
        <v>224</v>
      </c>
      <c r="G182" s="24"/>
      <c r="H182" s="162"/>
      <c r="I182" s="162"/>
      <c r="J182" s="171" t="s">
        <v>429</v>
      </c>
      <c r="K182" s="162"/>
    </row>
    <row r="183" s="1" customFormat="1" ht="18" customHeight="1" spans="1:11">
      <c r="A183" s="160">
        <v>46178</v>
      </c>
      <c r="B183" s="160" t="s">
        <v>165</v>
      </c>
      <c r="C183" s="160" t="s">
        <v>225</v>
      </c>
      <c r="D183" s="160" t="s">
        <v>223</v>
      </c>
      <c r="E183" s="168">
        <v>19.2</v>
      </c>
      <c r="F183" s="25" t="s">
        <v>224</v>
      </c>
      <c r="G183" s="24"/>
      <c r="H183" s="162"/>
      <c r="I183" s="162"/>
      <c r="J183" s="171" t="s">
        <v>538</v>
      </c>
      <c r="K183" s="162"/>
    </row>
    <row r="184" s="1" customFormat="1" ht="18" customHeight="1" spans="1:11">
      <c r="A184" s="160">
        <v>46179</v>
      </c>
      <c r="B184" s="160" t="s">
        <v>66</v>
      </c>
      <c r="C184" s="160" t="s">
        <v>41</v>
      </c>
      <c r="D184" s="160" t="s">
        <v>73</v>
      </c>
      <c r="E184" s="168">
        <v>20.56</v>
      </c>
      <c r="F184" s="25"/>
      <c r="G184" s="24"/>
      <c r="H184" s="162"/>
      <c r="I184" s="162"/>
      <c r="J184" s="171" t="s">
        <v>553</v>
      </c>
      <c r="K184" s="162"/>
    </row>
    <row r="185" s="1" customFormat="1" ht="18" customHeight="1" spans="1:11">
      <c r="A185" s="160">
        <v>46179</v>
      </c>
      <c r="B185" s="160" t="s">
        <v>66</v>
      </c>
      <c r="C185" s="160" t="s">
        <v>41</v>
      </c>
      <c r="D185" s="160" t="s">
        <v>73</v>
      </c>
      <c r="E185" s="168">
        <v>20.56</v>
      </c>
      <c r="F185" s="25"/>
      <c r="G185" s="24"/>
      <c r="H185" s="162"/>
      <c r="I185" s="162"/>
      <c r="J185" s="171" t="s">
        <v>553</v>
      </c>
      <c r="K185" s="162"/>
    </row>
    <row r="186" s="1" customFormat="1" ht="18" customHeight="1" spans="1:11">
      <c r="A186" s="160">
        <v>46180</v>
      </c>
      <c r="B186" s="160" t="s">
        <v>165</v>
      </c>
      <c r="C186" s="160" t="s">
        <v>30</v>
      </c>
      <c r="D186" s="160" t="s">
        <v>223</v>
      </c>
      <c r="E186" s="168">
        <v>19.2</v>
      </c>
      <c r="F186" s="25" t="s">
        <v>224</v>
      </c>
      <c r="G186" s="24"/>
      <c r="H186" s="162"/>
      <c r="I186" s="162"/>
      <c r="J186" s="171" t="s">
        <v>439</v>
      </c>
      <c r="K186" s="162"/>
    </row>
    <row r="187" s="1" customFormat="1" ht="18" customHeight="1" spans="1:11">
      <c r="A187" s="160">
        <v>46180</v>
      </c>
      <c r="B187" s="160" t="s">
        <v>165</v>
      </c>
      <c r="C187" s="160" t="s">
        <v>30</v>
      </c>
      <c r="D187" s="160" t="s">
        <v>223</v>
      </c>
      <c r="E187" s="168">
        <v>19.2</v>
      </c>
      <c r="F187" s="25" t="s">
        <v>224</v>
      </c>
      <c r="G187" s="24"/>
      <c r="H187" s="162"/>
      <c r="I187" s="162"/>
      <c r="J187" s="171" t="s">
        <v>439</v>
      </c>
      <c r="K187" s="162"/>
    </row>
    <row r="188" s="1" customFormat="1" ht="19" customHeight="1" spans="1:11">
      <c r="A188" s="165">
        <v>46154</v>
      </c>
      <c r="B188" s="165" t="s">
        <v>28</v>
      </c>
      <c r="C188" s="165" t="s">
        <v>30</v>
      </c>
      <c r="D188" s="165" t="s">
        <v>59</v>
      </c>
      <c r="E188" s="166">
        <v>19</v>
      </c>
      <c r="F188" s="126"/>
      <c r="G188" s="56"/>
      <c r="H188" s="167"/>
      <c r="I188" s="167"/>
      <c r="J188" s="169" t="s">
        <v>513</v>
      </c>
      <c r="K188" s="162"/>
    </row>
    <row r="189" s="1" customFormat="1" ht="19" customHeight="1" spans="1:11">
      <c r="A189" s="165">
        <v>46154</v>
      </c>
      <c r="B189" s="165" t="s">
        <v>28</v>
      </c>
      <c r="C189" s="165" t="s">
        <v>30</v>
      </c>
      <c r="D189" s="165" t="s">
        <v>59</v>
      </c>
      <c r="E189" s="166">
        <v>19</v>
      </c>
      <c r="F189" s="126"/>
      <c r="G189" s="56"/>
      <c r="H189" s="167"/>
      <c r="I189" s="167"/>
      <c r="J189" s="169" t="s">
        <v>514</v>
      </c>
      <c r="K189" s="162"/>
    </row>
    <row r="190" s="1" customFormat="1" ht="18" customHeight="1" spans="1:11">
      <c r="A190" s="165">
        <v>46155</v>
      </c>
      <c r="B190" s="165" t="s">
        <v>61</v>
      </c>
      <c r="C190" s="165" t="s">
        <v>30</v>
      </c>
      <c r="D190" s="165" t="s">
        <v>62</v>
      </c>
      <c r="E190" s="56">
        <v>4</v>
      </c>
      <c r="F190" s="126"/>
      <c r="G190" s="56"/>
      <c r="H190" s="167"/>
      <c r="I190" s="167"/>
      <c r="J190" s="172" t="s">
        <v>515</v>
      </c>
      <c r="K190" s="162"/>
    </row>
    <row r="191" s="1" customFormat="1" ht="18" customHeight="1" spans="1:11">
      <c r="A191" s="165">
        <v>46155</v>
      </c>
      <c r="B191" s="165" t="s">
        <v>61</v>
      </c>
      <c r="C191" s="165" t="s">
        <v>64</v>
      </c>
      <c r="D191" s="165" t="s">
        <v>62</v>
      </c>
      <c r="E191" s="56">
        <v>2.5</v>
      </c>
      <c r="F191" s="126"/>
      <c r="G191" s="56"/>
      <c r="H191" s="167"/>
      <c r="I191" s="167"/>
      <c r="J191" s="173"/>
      <c r="K191" s="162"/>
    </row>
    <row r="192" s="1" customFormat="1" ht="18" customHeight="1" spans="1:11">
      <c r="A192" s="165">
        <v>46157</v>
      </c>
      <c r="B192" s="165" t="s">
        <v>464</v>
      </c>
      <c r="C192" s="165" t="s">
        <v>502</v>
      </c>
      <c r="D192" s="165" t="s">
        <v>219</v>
      </c>
      <c r="E192" s="166">
        <v>16.32</v>
      </c>
      <c r="F192" s="126"/>
      <c r="G192" s="56"/>
      <c r="H192" s="167"/>
      <c r="I192" s="167"/>
      <c r="J192" s="169" t="s">
        <v>518</v>
      </c>
      <c r="K192" s="162"/>
    </row>
    <row r="193" s="1" customFormat="1" ht="18" customHeight="1" spans="1:11">
      <c r="A193" s="165">
        <v>46157</v>
      </c>
      <c r="B193" s="165" t="s">
        <v>464</v>
      </c>
      <c r="C193" s="165" t="s">
        <v>502</v>
      </c>
      <c r="D193" s="165" t="s">
        <v>219</v>
      </c>
      <c r="E193" s="166">
        <v>16.32</v>
      </c>
      <c r="F193" s="126"/>
      <c r="G193" s="56"/>
      <c r="H193" s="167"/>
      <c r="I193" s="167"/>
      <c r="J193" s="169" t="s">
        <v>519</v>
      </c>
      <c r="K193" s="162"/>
    </row>
    <row r="194" s="1" customFormat="1" ht="18" customHeight="1" spans="1:11">
      <c r="A194" s="165">
        <v>46158</v>
      </c>
      <c r="B194" s="165" t="s">
        <v>210</v>
      </c>
      <c r="C194" s="165" t="s">
        <v>30</v>
      </c>
      <c r="D194" s="165" t="s">
        <v>218</v>
      </c>
      <c r="E194" s="166">
        <v>19</v>
      </c>
      <c r="F194" s="126"/>
      <c r="G194" s="56"/>
      <c r="H194" s="167"/>
      <c r="I194" s="167"/>
      <c r="J194" s="169" t="s">
        <v>520</v>
      </c>
      <c r="K194" s="162"/>
    </row>
    <row r="195" s="1" customFormat="1" ht="18" customHeight="1" spans="1:11">
      <c r="A195" s="165">
        <v>46158</v>
      </c>
      <c r="B195" s="165" t="s">
        <v>464</v>
      </c>
      <c r="C195" s="165" t="s">
        <v>502</v>
      </c>
      <c r="D195" s="165" t="s">
        <v>219</v>
      </c>
      <c r="E195" s="166">
        <v>16.32</v>
      </c>
      <c r="F195" s="126"/>
      <c r="G195" s="56"/>
      <c r="H195" s="167"/>
      <c r="I195" s="167"/>
      <c r="J195" s="169" t="s">
        <v>521</v>
      </c>
      <c r="K195" s="162"/>
    </row>
    <row r="196" s="1" customFormat="1" ht="18" customHeight="1" spans="1:11">
      <c r="A196" s="165">
        <v>46158</v>
      </c>
      <c r="B196" s="165" t="s">
        <v>464</v>
      </c>
      <c r="C196" s="165" t="s">
        <v>502</v>
      </c>
      <c r="D196" s="165" t="s">
        <v>219</v>
      </c>
      <c r="E196" s="166">
        <v>16.32</v>
      </c>
      <c r="F196" s="126"/>
      <c r="G196" s="56"/>
      <c r="H196" s="167"/>
      <c r="I196" s="167"/>
      <c r="J196" s="169" t="s">
        <v>522</v>
      </c>
      <c r="K196" s="162"/>
    </row>
    <row r="197" s="1" customFormat="1" ht="18" customHeight="1" spans="1:11">
      <c r="A197" s="165">
        <v>46163</v>
      </c>
      <c r="B197" s="165" t="s">
        <v>165</v>
      </c>
      <c r="C197" s="165" t="s">
        <v>30</v>
      </c>
      <c r="D197" s="165" t="s">
        <v>223</v>
      </c>
      <c r="E197" s="166">
        <v>17.92</v>
      </c>
      <c r="F197" s="126"/>
      <c r="G197" s="56"/>
      <c r="H197" s="167"/>
      <c r="I197" s="167"/>
      <c r="J197" s="169" t="s">
        <v>442</v>
      </c>
      <c r="K197" s="162"/>
    </row>
    <row r="198" s="1" customFormat="1" ht="18" customHeight="1" spans="1:11">
      <c r="A198" s="165">
        <v>46163</v>
      </c>
      <c r="B198" s="165" t="s">
        <v>165</v>
      </c>
      <c r="C198" s="165" t="s">
        <v>30</v>
      </c>
      <c r="D198" s="165" t="s">
        <v>223</v>
      </c>
      <c r="E198" s="166">
        <v>17.92</v>
      </c>
      <c r="F198" s="126"/>
      <c r="G198" s="56"/>
      <c r="H198" s="167"/>
      <c r="I198" s="167"/>
      <c r="J198" s="169" t="s">
        <v>523</v>
      </c>
      <c r="K198" s="162"/>
    </row>
    <row r="199" s="1" customFormat="1" ht="18" customHeight="1" spans="1:11">
      <c r="A199" s="165">
        <v>46166</v>
      </c>
      <c r="B199" s="165" t="s">
        <v>220</v>
      </c>
      <c r="C199" s="165" t="s">
        <v>215</v>
      </c>
      <c r="D199" s="165" t="s">
        <v>221</v>
      </c>
      <c r="E199" s="166">
        <v>22.4</v>
      </c>
      <c r="F199" s="126"/>
      <c r="G199" s="56"/>
      <c r="H199" s="167"/>
      <c r="I199" s="167"/>
      <c r="J199" s="169" t="s">
        <v>527</v>
      </c>
      <c r="K199" s="162"/>
    </row>
    <row r="200" s="1" customFormat="1" ht="18" customHeight="1" spans="1:11">
      <c r="A200" s="165">
        <v>46166</v>
      </c>
      <c r="B200" s="165" t="s">
        <v>220</v>
      </c>
      <c r="C200" s="165" t="s">
        <v>215</v>
      </c>
      <c r="D200" s="165" t="s">
        <v>221</v>
      </c>
      <c r="E200" s="166">
        <v>22.4</v>
      </c>
      <c r="F200" s="126"/>
      <c r="G200" s="56"/>
      <c r="H200" s="167"/>
      <c r="I200" s="167"/>
      <c r="J200" s="169" t="s">
        <v>528</v>
      </c>
      <c r="K200" s="162"/>
    </row>
    <row r="201" s="1" customFormat="1" ht="18" customHeight="1" spans="1:11">
      <c r="A201" s="165">
        <v>46169</v>
      </c>
      <c r="B201" s="165" t="s">
        <v>165</v>
      </c>
      <c r="C201" s="165" t="s">
        <v>225</v>
      </c>
      <c r="D201" s="165" t="s">
        <v>223</v>
      </c>
      <c r="E201" s="166">
        <v>19.2</v>
      </c>
      <c r="F201" s="126"/>
      <c r="G201" s="56"/>
      <c r="H201" s="167"/>
      <c r="I201" s="167"/>
      <c r="J201" s="169" t="s">
        <v>429</v>
      </c>
      <c r="K201" s="162"/>
    </row>
    <row r="202" s="1" customFormat="1" ht="18" customHeight="1" spans="1:11">
      <c r="A202" s="165">
        <v>46171</v>
      </c>
      <c r="B202" s="165" t="s">
        <v>165</v>
      </c>
      <c r="C202" s="165" t="s">
        <v>30</v>
      </c>
      <c r="D202" s="165" t="s">
        <v>223</v>
      </c>
      <c r="E202" s="166">
        <v>19.2</v>
      </c>
      <c r="F202" s="126"/>
      <c r="G202" s="56"/>
      <c r="H202" s="167"/>
      <c r="I202" s="167"/>
      <c r="J202" s="169" t="s">
        <v>538</v>
      </c>
      <c r="K202" s="162"/>
    </row>
    <row r="203" s="1" customFormat="1" ht="18" customHeight="1" spans="1:11">
      <c r="A203" s="165">
        <v>46174</v>
      </c>
      <c r="B203" s="165" t="s">
        <v>28</v>
      </c>
      <c r="C203" s="165" t="s">
        <v>41</v>
      </c>
      <c r="D203" s="165" t="s">
        <v>70</v>
      </c>
      <c r="E203" s="166">
        <v>24.4</v>
      </c>
      <c r="F203" s="126"/>
      <c r="G203" s="56"/>
      <c r="H203" s="167"/>
      <c r="I203" s="167"/>
      <c r="J203" s="169" t="s">
        <v>549</v>
      </c>
      <c r="K203" s="162"/>
    </row>
    <row r="204" s="1" customFormat="1" ht="18" customHeight="1" spans="1:11">
      <c r="A204" s="165">
        <v>46175</v>
      </c>
      <c r="B204" s="165" t="s">
        <v>165</v>
      </c>
      <c r="C204" s="165" t="s">
        <v>30</v>
      </c>
      <c r="D204" s="165" t="s">
        <v>223</v>
      </c>
      <c r="E204" s="166">
        <v>17.92</v>
      </c>
      <c r="F204" s="126"/>
      <c r="G204" s="56"/>
      <c r="H204" s="167"/>
      <c r="I204" s="167"/>
      <c r="J204" s="173" t="s">
        <v>429</v>
      </c>
      <c r="K204" s="162"/>
    </row>
    <row r="205" s="1" customFormat="1" ht="18" customHeight="1" spans="1:11">
      <c r="A205" s="165">
        <v>46177</v>
      </c>
      <c r="B205" s="165" t="s">
        <v>165</v>
      </c>
      <c r="C205" s="165" t="s">
        <v>225</v>
      </c>
      <c r="D205" s="165" t="s">
        <v>223</v>
      </c>
      <c r="E205" s="166">
        <v>19.2</v>
      </c>
      <c r="F205" s="126"/>
      <c r="G205" s="56"/>
      <c r="H205" s="167"/>
      <c r="I205" s="167"/>
      <c r="J205" s="173" t="s">
        <v>429</v>
      </c>
      <c r="K205" s="162"/>
    </row>
    <row r="206" s="1" customFormat="1" ht="18" customHeight="1" spans="1:11">
      <c r="A206" s="165">
        <v>46177</v>
      </c>
      <c r="B206" s="165" t="s">
        <v>165</v>
      </c>
      <c r="C206" s="165" t="s">
        <v>225</v>
      </c>
      <c r="D206" s="165" t="s">
        <v>223</v>
      </c>
      <c r="E206" s="166">
        <v>19.2</v>
      </c>
      <c r="F206" s="126"/>
      <c r="G206" s="56"/>
      <c r="H206" s="167"/>
      <c r="I206" s="167"/>
      <c r="J206" s="173" t="s">
        <v>429</v>
      </c>
      <c r="K206" s="162"/>
    </row>
    <row r="207" s="1" customFormat="1" ht="18" customHeight="1" spans="1:11">
      <c r="A207" s="165">
        <v>46178</v>
      </c>
      <c r="B207" s="165" t="s">
        <v>165</v>
      </c>
      <c r="C207" s="165" t="s">
        <v>225</v>
      </c>
      <c r="D207" s="165" t="s">
        <v>223</v>
      </c>
      <c r="E207" s="166">
        <v>19.2</v>
      </c>
      <c r="F207" s="126"/>
      <c r="G207" s="56"/>
      <c r="H207" s="167"/>
      <c r="I207" s="167"/>
      <c r="J207" s="173" t="s">
        <v>429</v>
      </c>
      <c r="K207" s="162"/>
    </row>
    <row r="208" s="1" customFormat="1" ht="18" customHeight="1" spans="1:11">
      <c r="A208" s="165">
        <v>46178</v>
      </c>
      <c r="B208" s="165" t="s">
        <v>165</v>
      </c>
      <c r="C208" s="165" t="s">
        <v>225</v>
      </c>
      <c r="D208" s="165" t="s">
        <v>223</v>
      </c>
      <c r="E208" s="166">
        <v>19.2</v>
      </c>
      <c r="F208" s="126"/>
      <c r="G208" s="56"/>
      <c r="H208" s="167"/>
      <c r="I208" s="167"/>
      <c r="J208" s="173" t="s">
        <v>538</v>
      </c>
      <c r="K208" s="162"/>
    </row>
    <row r="209" s="1" customFormat="1" ht="18" customHeight="1" spans="1:11">
      <c r="A209" s="165">
        <v>46180</v>
      </c>
      <c r="B209" s="165" t="s">
        <v>165</v>
      </c>
      <c r="C209" s="165" t="s">
        <v>30</v>
      </c>
      <c r="D209" s="165" t="s">
        <v>223</v>
      </c>
      <c r="E209" s="166">
        <v>19.2</v>
      </c>
      <c r="F209" s="126"/>
      <c r="G209" s="56"/>
      <c r="H209" s="167"/>
      <c r="I209" s="167"/>
      <c r="J209" s="173" t="s">
        <v>439</v>
      </c>
      <c r="K209" s="162"/>
    </row>
    <row r="210" s="1" customFormat="1" ht="18" customHeight="1" spans="1:11">
      <c r="A210" s="165">
        <v>46180</v>
      </c>
      <c r="B210" s="165" t="s">
        <v>165</v>
      </c>
      <c r="C210" s="165" t="s">
        <v>30</v>
      </c>
      <c r="D210" s="165" t="s">
        <v>223</v>
      </c>
      <c r="E210" s="166">
        <v>19.2</v>
      </c>
      <c r="F210" s="126"/>
      <c r="G210" s="56"/>
      <c r="H210" s="167"/>
      <c r="I210" s="167"/>
      <c r="J210" s="173" t="s">
        <v>439</v>
      </c>
      <c r="K210" s="162"/>
    </row>
    <row r="211" s="1" customFormat="1" ht="18" customHeight="1" spans="1:11">
      <c r="A211" s="160">
        <v>46182</v>
      </c>
      <c r="B211" s="160" t="s">
        <v>28</v>
      </c>
      <c r="C211" s="160" t="s">
        <v>41</v>
      </c>
      <c r="D211" s="160" t="s">
        <v>51</v>
      </c>
      <c r="E211" s="168">
        <v>19.2</v>
      </c>
      <c r="F211" s="25" t="s">
        <v>531</v>
      </c>
      <c r="G211" s="24"/>
      <c r="H211" s="162"/>
      <c r="I211" s="162"/>
      <c r="J211" s="171" t="s">
        <v>554</v>
      </c>
      <c r="K211" s="162"/>
    </row>
    <row r="212" s="1" customFormat="1" ht="18" customHeight="1" spans="1:11">
      <c r="A212" s="160">
        <v>46182</v>
      </c>
      <c r="B212" s="160" t="s">
        <v>28</v>
      </c>
      <c r="C212" s="160" t="s">
        <v>41</v>
      </c>
      <c r="D212" s="160" t="s">
        <v>51</v>
      </c>
      <c r="E212" s="168">
        <v>19.2</v>
      </c>
      <c r="F212" s="25" t="s">
        <v>531</v>
      </c>
      <c r="G212" s="24"/>
      <c r="H212" s="162"/>
      <c r="I212" s="162"/>
      <c r="J212" s="171" t="s">
        <v>554</v>
      </c>
      <c r="K212" s="162"/>
    </row>
    <row r="213" s="1" customFormat="1" ht="18" customHeight="1" spans="1:11">
      <c r="A213" s="160">
        <v>46182</v>
      </c>
      <c r="B213" s="160" t="s">
        <v>28</v>
      </c>
      <c r="C213" s="160" t="s">
        <v>41</v>
      </c>
      <c r="D213" s="160" t="s">
        <v>51</v>
      </c>
      <c r="E213" s="168">
        <v>19.2</v>
      </c>
      <c r="F213" s="25" t="s">
        <v>531</v>
      </c>
      <c r="G213" s="24"/>
      <c r="H213" s="162"/>
      <c r="I213" s="162"/>
      <c r="J213" s="171" t="s">
        <v>555</v>
      </c>
      <c r="K213" s="162"/>
    </row>
    <row r="214" s="1" customFormat="1" ht="18" customHeight="1" spans="1:11">
      <c r="A214" s="160">
        <v>46182</v>
      </c>
      <c r="B214" s="160" t="s">
        <v>28</v>
      </c>
      <c r="C214" s="160" t="s">
        <v>41</v>
      </c>
      <c r="D214" s="160" t="s">
        <v>51</v>
      </c>
      <c r="E214" s="168">
        <v>19.2</v>
      </c>
      <c r="F214" s="25" t="s">
        <v>531</v>
      </c>
      <c r="G214" s="24"/>
      <c r="H214" s="162"/>
      <c r="I214" s="162"/>
      <c r="J214" s="171" t="s">
        <v>556</v>
      </c>
      <c r="K214" s="162"/>
    </row>
    <row r="215" s="1" customFormat="1" ht="18" customHeight="1" spans="1:11">
      <c r="A215" s="160">
        <v>46182</v>
      </c>
      <c r="B215" s="160" t="s">
        <v>28</v>
      </c>
      <c r="C215" s="160" t="s">
        <v>41</v>
      </c>
      <c r="D215" s="160" t="s">
        <v>51</v>
      </c>
      <c r="E215" s="168">
        <v>19.2</v>
      </c>
      <c r="F215" s="25" t="s">
        <v>531</v>
      </c>
      <c r="G215" s="24"/>
      <c r="H215" s="162"/>
      <c r="I215" s="162"/>
      <c r="J215" s="171" t="s">
        <v>557</v>
      </c>
      <c r="K215" s="162"/>
    </row>
    <row r="216" s="1" customFormat="1" ht="18" customHeight="1" spans="1:11">
      <c r="A216" s="160">
        <v>46183</v>
      </c>
      <c r="B216" s="160" t="s">
        <v>165</v>
      </c>
      <c r="C216" s="160" t="s">
        <v>41</v>
      </c>
      <c r="D216" s="160" t="s">
        <v>236</v>
      </c>
      <c r="E216" s="168">
        <v>19.2</v>
      </c>
      <c r="F216" s="25" t="s">
        <v>237</v>
      </c>
      <c r="G216" s="24"/>
      <c r="H216" s="162"/>
      <c r="I216" s="162"/>
      <c r="J216" s="171" t="s">
        <v>558</v>
      </c>
      <c r="K216" s="162"/>
    </row>
    <row r="217" s="1" customFormat="1" ht="18" customHeight="1" spans="1:11">
      <c r="A217" s="160">
        <v>46183</v>
      </c>
      <c r="B217" s="160" t="s">
        <v>165</v>
      </c>
      <c r="C217" s="160" t="s">
        <v>41</v>
      </c>
      <c r="D217" s="160" t="s">
        <v>236</v>
      </c>
      <c r="E217" s="168">
        <v>19.2</v>
      </c>
      <c r="F217" s="25" t="s">
        <v>237</v>
      </c>
      <c r="G217" s="24"/>
      <c r="H217" s="162"/>
      <c r="I217" s="162"/>
      <c r="J217" s="171" t="s">
        <v>429</v>
      </c>
      <c r="K217" s="162"/>
    </row>
    <row r="218" s="1" customFormat="1" ht="18" customHeight="1" spans="1:11">
      <c r="A218" s="160">
        <v>46183</v>
      </c>
      <c r="B218" s="160" t="s">
        <v>165</v>
      </c>
      <c r="C218" s="160" t="s">
        <v>41</v>
      </c>
      <c r="D218" s="160" t="s">
        <v>236</v>
      </c>
      <c r="E218" s="168">
        <v>19.2</v>
      </c>
      <c r="F218" s="25" t="s">
        <v>237</v>
      </c>
      <c r="G218" s="24"/>
      <c r="H218" s="162"/>
      <c r="I218" s="162"/>
      <c r="J218" s="171" t="s">
        <v>442</v>
      </c>
      <c r="K218" s="162"/>
    </row>
    <row r="219" s="1" customFormat="1" ht="18" customHeight="1" spans="1:11">
      <c r="A219" s="160">
        <v>46184</v>
      </c>
      <c r="B219" s="160" t="s">
        <v>165</v>
      </c>
      <c r="C219" s="160" t="s">
        <v>41</v>
      </c>
      <c r="D219" s="160" t="s">
        <v>236</v>
      </c>
      <c r="E219" s="168">
        <v>19.2</v>
      </c>
      <c r="F219" s="25"/>
      <c r="G219" s="24"/>
      <c r="H219" s="162"/>
      <c r="I219" s="162"/>
      <c r="J219" s="171" t="s">
        <v>439</v>
      </c>
      <c r="K219" s="162"/>
    </row>
    <row r="220" s="1" customFormat="1" ht="18" customHeight="1" spans="1:11">
      <c r="A220" s="160">
        <v>46184</v>
      </c>
      <c r="B220" s="160" t="s">
        <v>165</v>
      </c>
      <c r="C220" s="160" t="s">
        <v>41</v>
      </c>
      <c r="D220" s="160" t="s">
        <v>236</v>
      </c>
      <c r="E220" s="168">
        <v>19.2</v>
      </c>
      <c r="F220" s="25"/>
      <c r="G220" s="24"/>
      <c r="H220" s="162"/>
      <c r="I220" s="162"/>
      <c r="J220" s="171" t="s">
        <v>429</v>
      </c>
      <c r="K220" s="162"/>
    </row>
    <row r="221" s="1" customFormat="1" ht="18" customHeight="1" spans="1:11">
      <c r="A221" s="160">
        <v>46184</v>
      </c>
      <c r="B221" s="160" t="s">
        <v>165</v>
      </c>
      <c r="C221" s="160" t="s">
        <v>41</v>
      </c>
      <c r="D221" s="160" t="s">
        <v>236</v>
      </c>
      <c r="E221" s="168">
        <v>19.2</v>
      </c>
      <c r="F221" s="25"/>
      <c r="G221" s="24"/>
      <c r="H221" s="162"/>
      <c r="I221" s="162"/>
      <c r="J221" s="171" t="s">
        <v>439</v>
      </c>
      <c r="K221" s="162"/>
    </row>
    <row r="222" s="1" customFormat="1" ht="18" customHeight="1" spans="1:11">
      <c r="A222" s="160">
        <v>46184</v>
      </c>
      <c r="B222" s="160" t="s">
        <v>165</v>
      </c>
      <c r="C222" s="160" t="s">
        <v>41</v>
      </c>
      <c r="D222" s="160" t="s">
        <v>236</v>
      </c>
      <c r="E222" s="168">
        <v>19.2</v>
      </c>
      <c r="F222" s="25"/>
      <c r="G222" s="24"/>
      <c r="H222" s="162"/>
      <c r="I222" s="162"/>
      <c r="J222" s="171" t="s">
        <v>429</v>
      </c>
      <c r="K222" s="162"/>
    </row>
    <row r="223" s="1" customFormat="1" ht="18" customHeight="1" spans="1:11">
      <c r="A223" s="160">
        <v>46184</v>
      </c>
      <c r="B223" s="160" t="s">
        <v>165</v>
      </c>
      <c r="C223" s="160" t="s">
        <v>41</v>
      </c>
      <c r="D223" s="160" t="s">
        <v>236</v>
      </c>
      <c r="E223" s="168">
        <v>19.2</v>
      </c>
      <c r="F223" s="25"/>
      <c r="G223" s="24"/>
      <c r="H223" s="162"/>
      <c r="I223" s="162"/>
      <c r="J223" s="171" t="s">
        <v>428</v>
      </c>
      <c r="K223" s="162"/>
    </row>
    <row r="224" s="1" customFormat="1" ht="18" customHeight="1" spans="1:11">
      <c r="A224" s="160">
        <v>46184</v>
      </c>
      <c r="B224" s="24" t="s">
        <v>43</v>
      </c>
      <c r="C224" s="24" t="s">
        <v>47</v>
      </c>
      <c r="D224" s="24" t="s">
        <v>74</v>
      </c>
      <c r="E224" s="168">
        <v>5.01</v>
      </c>
      <c r="F224" s="25"/>
      <c r="G224" s="24"/>
      <c r="H224" s="162"/>
      <c r="I224" s="162"/>
      <c r="J224" s="171" t="s">
        <v>559</v>
      </c>
      <c r="K224" s="162"/>
    </row>
    <row r="225" s="129" customFormat="1" ht="18" customHeight="1" spans="1:11">
      <c r="A225" s="165">
        <v>46185</v>
      </c>
      <c r="B225" s="165" t="s">
        <v>165</v>
      </c>
      <c r="C225" s="165" t="s">
        <v>41</v>
      </c>
      <c r="D225" s="165" t="s">
        <v>236</v>
      </c>
      <c r="E225" s="21">
        <v>19.2</v>
      </c>
      <c r="F225" s="126" t="s">
        <v>237</v>
      </c>
      <c r="G225" s="56"/>
      <c r="H225" s="167"/>
      <c r="I225" s="167"/>
      <c r="J225" s="169" t="s">
        <v>560</v>
      </c>
      <c r="K225" s="167"/>
    </row>
    <row r="226" s="129" customFormat="1" ht="25" customHeight="1" spans="1:10">
      <c r="A226" s="165">
        <v>46185</v>
      </c>
      <c r="B226" s="165" t="s">
        <v>165</v>
      </c>
      <c r="C226" s="165" t="s">
        <v>41</v>
      </c>
      <c r="D226" s="165" t="s">
        <v>236</v>
      </c>
      <c r="E226" s="21">
        <v>19.2</v>
      </c>
      <c r="F226" s="126" t="s">
        <v>224</v>
      </c>
      <c r="G226" s="3"/>
      <c r="H226" s="3"/>
      <c r="I226" s="3"/>
      <c r="J226" s="169" t="s">
        <v>561</v>
      </c>
    </row>
    <row r="227" s="1" customFormat="1" ht="25" customHeight="1" spans="1:10">
      <c r="A227" s="165">
        <v>46185</v>
      </c>
      <c r="B227" s="165" t="s">
        <v>165</v>
      </c>
      <c r="C227" s="165" t="s">
        <v>41</v>
      </c>
      <c r="D227" s="165" t="s">
        <v>236</v>
      </c>
      <c r="E227" s="21">
        <v>19.2</v>
      </c>
      <c r="F227" s="25"/>
      <c r="G227" s="2"/>
      <c r="H227" s="2"/>
      <c r="I227" s="2"/>
      <c r="J227" s="169" t="s">
        <v>561</v>
      </c>
    </row>
    <row r="228" s="1" customFormat="1" ht="25" customHeight="1" spans="1:10">
      <c r="A228" s="165">
        <v>46185</v>
      </c>
      <c r="B228" s="165" t="s">
        <v>165</v>
      </c>
      <c r="C228" s="165" t="s">
        <v>30</v>
      </c>
      <c r="D228" s="165" t="s">
        <v>236</v>
      </c>
      <c r="E228" s="21">
        <v>19.2</v>
      </c>
      <c r="F228" s="25"/>
      <c r="G228" s="2"/>
      <c r="H228" s="2"/>
      <c r="I228" s="2"/>
      <c r="J228" s="40" t="s">
        <v>562</v>
      </c>
    </row>
    <row r="229" s="1" customFormat="1" ht="25" customHeight="1" spans="1:10">
      <c r="A229" s="165">
        <v>46185</v>
      </c>
      <c r="B229" s="165" t="s">
        <v>165</v>
      </c>
      <c r="C229" s="165" t="s">
        <v>30</v>
      </c>
      <c r="D229" s="165" t="s">
        <v>236</v>
      </c>
      <c r="E229" s="21">
        <v>19.2</v>
      </c>
      <c r="F229" s="25"/>
      <c r="G229" s="2"/>
      <c r="H229" s="2"/>
      <c r="I229" s="2"/>
      <c r="J229" s="40" t="s">
        <v>563</v>
      </c>
    </row>
    <row r="230" s="1" customFormat="1" ht="14" customHeight="1" spans="1:10">
      <c r="A230" s="160">
        <v>46185</v>
      </c>
      <c r="B230" s="160" t="s">
        <v>231</v>
      </c>
      <c r="C230" s="160" t="s">
        <v>225</v>
      </c>
      <c r="D230" s="160" t="s">
        <v>232</v>
      </c>
      <c r="E230" s="9">
        <v>1.2</v>
      </c>
      <c r="F230" s="9" t="s">
        <v>564</v>
      </c>
      <c r="G230" s="2"/>
      <c r="H230" s="2"/>
      <c r="I230" s="2"/>
      <c r="J230" s="16" t="s">
        <v>565</v>
      </c>
    </row>
    <row r="231" s="1" customFormat="1" ht="18" customHeight="1" spans="1:11">
      <c r="A231" s="160">
        <v>46186</v>
      </c>
      <c r="B231" s="160" t="s">
        <v>226</v>
      </c>
      <c r="C231" s="160" t="s">
        <v>30</v>
      </c>
      <c r="D231" s="160" t="s">
        <v>227</v>
      </c>
      <c r="E231" s="168">
        <v>17.92</v>
      </c>
      <c r="F231" s="24" t="s">
        <v>224</v>
      </c>
      <c r="G231" s="24"/>
      <c r="H231" s="162"/>
      <c r="I231" s="162"/>
      <c r="J231" s="171" t="s">
        <v>566</v>
      </c>
      <c r="K231" s="162"/>
    </row>
    <row r="232" s="1" customFormat="1" ht="18" customHeight="1" spans="1:11">
      <c r="A232" s="160">
        <v>46186</v>
      </c>
      <c r="B232" s="160" t="s">
        <v>206</v>
      </c>
      <c r="C232" s="160" t="s">
        <v>35</v>
      </c>
      <c r="D232" s="160" t="s">
        <v>229</v>
      </c>
      <c r="E232" s="168">
        <v>15.36</v>
      </c>
      <c r="F232" s="24" t="s">
        <v>230</v>
      </c>
      <c r="G232" s="24"/>
      <c r="H232" s="162"/>
      <c r="I232" s="162"/>
      <c r="J232" s="171" t="s">
        <v>567</v>
      </c>
      <c r="K232" s="162"/>
    </row>
    <row r="233" s="1" customFormat="1" ht="18" customHeight="1" spans="1:11">
      <c r="A233" s="160">
        <v>46188</v>
      </c>
      <c r="B233" s="160" t="s">
        <v>210</v>
      </c>
      <c r="C233" s="160" t="s">
        <v>30</v>
      </c>
      <c r="D233" s="160" t="s">
        <v>228</v>
      </c>
      <c r="E233" s="168">
        <v>19</v>
      </c>
      <c r="F233" s="24" t="s">
        <v>42</v>
      </c>
      <c r="G233" s="24"/>
      <c r="H233" s="162"/>
      <c r="I233" s="162"/>
      <c r="J233" s="171" t="s">
        <v>568</v>
      </c>
      <c r="K233" s="162"/>
    </row>
    <row r="234" s="1" customFormat="1" ht="18" customHeight="1" spans="1:11">
      <c r="A234" s="160">
        <v>46191</v>
      </c>
      <c r="B234" s="160" t="s">
        <v>165</v>
      </c>
      <c r="C234" s="160" t="s">
        <v>30</v>
      </c>
      <c r="D234" s="160" t="s">
        <v>236</v>
      </c>
      <c r="E234" s="168">
        <v>19.2</v>
      </c>
      <c r="F234" s="24" t="s">
        <v>569</v>
      </c>
      <c r="G234" s="24"/>
      <c r="H234" s="162"/>
      <c r="I234" s="162"/>
      <c r="J234" s="171" t="s">
        <v>570</v>
      </c>
      <c r="K234" s="162"/>
    </row>
    <row r="235" s="1" customFormat="1" ht="18" customHeight="1" spans="1:11">
      <c r="A235" s="160">
        <v>46191</v>
      </c>
      <c r="B235" s="160" t="s">
        <v>165</v>
      </c>
      <c r="C235" s="160" t="s">
        <v>41</v>
      </c>
      <c r="D235" s="160" t="s">
        <v>236</v>
      </c>
      <c r="E235" s="168">
        <v>4.8</v>
      </c>
      <c r="F235" s="24" t="s">
        <v>571</v>
      </c>
      <c r="G235" s="24"/>
      <c r="H235" s="162"/>
      <c r="I235" s="162"/>
      <c r="J235" s="171" t="s">
        <v>428</v>
      </c>
      <c r="K235" s="162"/>
    </row>
    <row r="236" s="1" customFormat="1" ht="18" customHeight="1" spans="1:11">
      <c r="A236" s="160">
        <v>46191</v>
      </c>
      <c r="B236" s="160" t="s">
        <v>165</v>
      </c>
      <c r="C236" s="160" t="s">
        <v>30</v>
      </c>
      <c r="D236" s="160" t="s">
        <v>236</v>
      </c>
      <c r="E236" s="168">
        <v>14.4</v>
      </c>
      <c r="F236" s="24" t="s">
        <v>571</v>
      </c>
      <c r="G236" s="24"/>
      <c r="H236" s="162"/>
      <c r="I236" s="162"/>
      <c r="J236" s="171"/>
      <c r="K236" s="162"/>
    </row>
    <row r="237" s="1" customFormat="1" ht="18" customHeight="1" spans="1:11">
      <c r="A237" s="160">
        <v>46191</v>
      </c>
      <c r="B237" s="160" t="s">
        <v>28</v>
      </c>
      <c r="C237" s="160" t="s">
        <v>35</v>
      </c>
      <c r="D237" s="160" t="s">
        <v>78</v>
      </c>
      <c r="E237" s="168">
        <v>1.5</v>
      </c>
      <c r="F237" s="24" t="s">
        <v>79</v>
      </c>
      <c r="G237" s="24"/>
      <c r="H237" s="162"/>
      <c r="I237" s="162"/>
      <c r="J237" s="171" t="s">
        <v>572</v>
      </c>
      <c r="K237" s="162"/>
    </row>
    <row r="238" s="1" customFormat="1" ht="18" customHeight="1" spans="1:11">
      <c r="A238" s="160">
        <v>46195</v>
      </c>
      <c r="B238" s="160" t="s">
        <v>28</v>
      </c>
      <c r="C238" s="160" t="s">
        <v>30</v>
      </c>
      <c r="D238" s="160" t="s">
        <v>29</v>
      </c>
      <c r="E238" s="168">
        <v>17.92</v>
      </c>
      <c r="F238" s="24" t="s">
        <v>573</v>
      </c>
      <c r="G238" s="24"/>
      <c r="H238" s="162"/>
      <c r="I238" s="162"/>
      <c r="J238" s="171" t="s">
        <v>554</v>
      </c>
      <c r="K238" s="162"/>
    </row>
    <row r="239" s="1" customFormat="1" ht="18" customHeight="1" spans="1:11">
      <c r="A239" s="160">
        <v>46195</v>
      </c>
      <c r="B239" s="160" t="s">
        <v>28</v>
      </c>
      <c r="C239" s="160" t="s">
        <v>30</v>
      </c>
      <c r="D239" s="160" t="s">
        <v>29</v>
      </c>
      <c r="E239" s="168">
        <v>17.92</v>
      </c>
      <c r="F239" s="24" t="s">
        <v>573</v>
      </c>
      <c r="G239" s="24"/>
      <c r="H239" s="162"/>
      <c r="I239" s="162"/>
      <c r="J239" s="171" t="s">
        <v>496</v>
      </c>
      <c r="K239" s="162"/>
    </row>
    <row r="240" s="1" customFormat="1" ht="18" customHeight="1" spans="1:11">
      <c r="A240" s="160">
        <v>46195</v>
      </c>
      <c r="B240" s="160" t="s">
        <v>28</v>
      </c>
      <c r="C240" s="160" t="s">
        <v>30</v>
      </c>
      <c r="D240" s="160" t="s">
        <v>29</v>
      </c>
      <c r="E240" s="168">
        <v>17.92</v>
      </c>
      <c r="F240" s="24" t="s">
        <v>573</v>
      </c>
      <c r="G240" s="24"/>
      <c r="H240" s="162"/>
      <c r="I240" s="162"/>
      <c r="J240" s="171" t="s">
        <v>554</v>
      </c>
      <c r="K240" s="162"/>
    </row>
    <row r="241" s="1" customFormat="1" ht="18" customHeight="1" spans="1:11">
      <c r="A241" s="160">
        <v>46195</v>
      </c>
      <c r="B241" s="160" t="s">
        <v>28</v>
      </c>
      <c r="C241" s="160" t="s">
        <v>30</v>
      </c>
      <c r="D241" s="160" t="s">
        <v>29</v>
      </c>
      <c r="E241" s="168">
        <v>17.92</v>
      </c>
      <c r="F241" s="24" t="s">
        <v>573</v>
      </c>
      <c r="G241" s="24"/>
      <c r="H241" s="162"/>
      <c r="I241" s="162"/>
      <c r="J241" s="171" t="s">
        <v>496</v>
      </c>
      <c r="K241" s="162"/>
    </row>
    <row r="242" s="1" customFormat="1" ht="18" customHeight="1" spans="1:11">
      <c r="A242" s="160">
        <v>46196</v>
      </c>
      <c r="B242" s="160" t="s">
        <v>464</v>
      </c>
      <c r="C242" s="160" t="s">
        <v>35</v>
      </c>
      <c r="D242" s="160" t="s">
        <v>235</v>
      </c>
      <c r="E242" s="168">
        <v>16.32</v>
      </c>
      <c r="F242" s="24" t="s">
        <v>437</v>
      </c>
      <c r="G242" s="24"/>
      <c r="H242" s="162"/>
      <c r="I242" s="162"/>
      <c r="J242" s="171" t="s">
        <v>574</v>
      </c>
      <c r="K242" s="162"/>
    </row>
    <row r="243" s="1" customFormat="1" ht="18" customHeight="1" spans="1:11">
      <c r="A243" s="160">
        <v>46196</v>
      </c>
      <c r="B243" s="160" t="s">
        <v>464</v>
      </c>
      <c r="C243" s="160" t="s">
        <v>35</v>
      </c>
      <c r="D243" s="160" t="s">
        <v>235</v>
      </c>
      <c r="E243" s="168">
        <v>16.32</v>
      </c>
      <c r="F243" s="24" t="s">
        <v>437</v>
      </c>
      <c r="G243" s="24"/>
      <c r="H243" s="162"/>
      <c r="I243" s="162"/>
      <c r="J243" s="171" t="s">
        <v>575</v>
      </c>
      <c r="K243" s="162"/>
    </row>
    <row r="244" s="1" customFormat="1" ht="18" customHeight="1" spans="1:11">
      <c r="A244" s="160">
        <v>46196</v>
      </c>
      <c r="B244" s="160" t="s">
        <v>28</v>
      </c>
      <c r="C244" s="160" t="s">
        <v>30</v>
      </c>
      <c r="D244" s="160" t="s">
        <v>29</v>
      </c>
      <c r="E244" s="168">
        <v>17.92</v>
      </c>
      <c r="F244" s="24" t="s">
        <v>573</v>
      </c>
      <c r="G244" s="24"/>
      <c r="H244" s="162"/>
      <c r="I244" s="162"/>
      <c r="J244" s="171" t="s">
        <v>554</v>
      </c>
      <c r="K244" s="162"/>
    </row>
    <row r="245" s="1" customFormat="1" ht="18" customHeight="1" spans="1:11">
      <c r="A245" s="160">
        <v>46196</v>
      </c>
      <c r="B245" s="160" t="s">
        <v>28</v>
      </c>
      <c r="C245" s="160" t="s">
        <v>30</v>
      </c>
      <c r="D245" s="160" t="s">
        <v>29</v>
      </c>
      <c r="E245" s="168">
        <v>17.92</v>
      </c>
      <c r="F245" s="24" t="s">
        <v>573</v>
      </c>
      <c r="G245" s="24"/>
      <c r="H245" s="162"/>
      <c r="I245" s="162"/>
      <c r="J245" s="171" t="s">
        <v>554</v>
      </c>
      <c r="K245" s="162"/>
    </row>
    <row r="246" s="1" customFormat="1" ht="18" customHeight="1" spans="1:11">
      <c r="A246" s="160">
        <v>46196</v>
      </c>
      <c r="B246" s="160" t="s">
        <v>28</v>
      </c>
      <c r="C246" s="160" t="s">
        <v>41</v>
      </c>
      <c r="D246" s="160" t="s">
        <v>51</v>
      </c>
      <c r="E246" s="168">
        <v>19.2</v>
      </c>
      <c r="F246" s="24" t="s">
        <v>531</v>
      </c>
      <c r="G246" s="24"/>
      <c r="H246" s="162"/>
      <c r="I246" s="162"/>
      <c r="J246" s="171" t="s">
        <v>576</v>
      </c>
      <c r="K246" s="162"/>
    </row>
    <row r="247" s="1" customFormat="1" ht="18" customHeight="1" spans="1:11">
      <c r="A247" s="160">
        <v>46196</v>
      </c>
      <c r="B247" s="160" t="s">
        <v>28</v>
      </c>
      <c r="C247" s="160" t="s">
        <v>41</v>
      </c>
      <c r="D247" s="160" t="s">
        <v>51</v>
      </c>
      <c r="E247" s="168">
        <v>19.2</v>
      </c>
      <c r="F247" s="24" t="s">
        <v>531</v>
      </c>
      <c r="G247" s="24"/>
      <c r="H247" s="162"/>
      <c r="I247" s="162"/>
      <c r="J247" s="171" t="s">
        <v>577</v>
      </c>
      <c r="K247" s="162"/>
    </row>
    <row r="248" s="1" customFormat="1" ht="18" customHeight="1" spans="1:11">
      <c r="A248" s="160">
        <v>46196</v>
      </c>
      <c r="B248" s="24" t="s">
        <v>76</v>
      </c>
      <c r="C248" s="160" t="s">
        <v>30</v>
      </c>
      <c r="D248" s="1" t="s">
        <v>77</v>
      </c>
      <c r="E248" s="168">
        <v>17.92</v>
      </c>
      <c r="F248" s="25" t="s">
        <v>68</v>
      </c>
      <c r="G248" s="24"/>
      <c r="H248" s="162"/>
      <c r="I248" s="162"/>
      <c r="J248" s="171" t="s">
        <v>578</v>
      </c>
      <c r="K248" s="162"/>
    </row>
    <row r="249" s="1" customFormat="1" ht="18" customHeight="1" spans="1:11">
      <c r="A249" s="160">
        <v>46197</v>
      </c>
      <c r="B249" s="160" t="s">
        <v>464</v>
      </c>
      <c r="C249" s="160" t="s">
        <v>35</v>
      </c>
      <c r="D249" s="160" t="s">
        <v>235</v>
      </c>
      <c r="E249" s="168">
        <v>16.32</v>
      </c>
      <c r="F249" s="24" t="s">
        <v>437</v>
      </c>
      <c r="G249" s="24"/>
      <c r="H249" s="162"/>
      <c r="I249" s="162"/>
      <c r="J249" s="171" t="s">
        <v>579</v>
      </c>
      <c r="K249" s="162"/>
    </row>
    <row r="250" s="1" customFormat="1" ht="18" customHeight="1" spans="1:11">
      <c r="A250" s="160">
        <v>46197</v>
      </c>
      <c r="B250" s="160" t="s">
        <v>464</v>
      </c>
      <c r="C250" s="160" t="s">
        <v>35</v>
      </c>
      <c r="D250" s="160" t="s">
        <v>235</v>
      </c>
      <c r="E250" s="168">
        <v>16.32</v>
      </c>
      <c r="F250" s="24" t="s">
        <v>437</v>
      </c>
      <c r="G250" s="24"/>
      <c r="H250" s="162"/>
      <c r="I250" s="162"/>
      <c r="J250" s="171" t="s">
        <v>580</v>
      </c>
      <c r="K250" s="162"/>
    </row>
    <row r="251" s="1" customFormat="1" ht="18" customHeight="1" spans="1:11">
      <c r="A251" s="160">
        <v>46197</v>
      </c>
      <c r="B251" s="160" t="s">
        <v>28</v>
      </c>
      <c r="C251" s="160" t="s">
        <v>41</v>
      </c>
      <c r="D251" s="160" t="s">
        <v>51</v>
      </c>
      <c r="E251" s="168">
        <v>19.2</v>
      </c>
      <c r="F251" s="24" t="s">
        <v>531</v>
      </c>
      <c r="G251" s="24"/>
      <c r="H251" s="162"/>
      <c r="I251" s="162"/>
      <c r="J251" s="171" t="s">
        <v>496</v>
      </c>
      <c r="K251" s="162"/>
    </row>
    <row r="252" s="1" customFormat="1" ht="18" customHeight="1" spans="1:11">
      <c r="A252" s="160">
        <v>46197</v>
      </c>
      <c r="B252" s="160" t="s">
        <v>28</v>
      </c>
      <c r="C252" s="160" t="s">
        <v>41</v>
      </c>
      <c r="D252" s="160" t="s">
        <v>51</v>
      </c>
      <c r="E252" s="168">
        <v>19.2</v>
      </c>
      <c r="F252" s="24" t="s">
        <v>531</v>
      </c>
      <c r="G252" s="24"/>
      <c r="H252" s="162"/>
      <c r="I252" s="162"/>
      <c r="J252" s="171" t="s">
        <v>581</v>
      </c>
      <c r="K252" s="162"/>
    </row>
    <row r="253" s="1" customFormat="1" ht="18" customHeight="1" spans="1:11">
      <c r="A253" s="160">
        <v>46197</v>
      </c>
      <c r="B253" s="160" t="s">
        <v>464</v>
      </c>
      <c r="C253" s="160" t="s">
        <v>30</v>
      </c>
      <c r="D253" s="160" t="s">
        <v>233</v>
      </c>
      <c r="E253" s="168">
        <v>17.92</v>
      </c>
      <c r="F253" s="24" t="s">
        <v>216</v>
      </c>
      <c r="G253" s="24"/>
      <c r="H253" s="162"/>
      <c r="I253" s="162"/>
      <c r="J253" s="171" t="s">
        <v>582</v>
      </c>
      <c r="K253" s="162"/>
    </row>
    <row r="254" s="1" customFormat="1" ht="18" customHeight="1" spans="1:11">
      <c r="A254" s="174">
        <v>46198</v>
      </c>
      <c r="B254" s="174" t="s">
        <v>152</v>
      </c>
      <c r="C254" s="174" t="s">
        <v>35</v>
      </c>
      <c r="D254" s="174" t="s">
        <v>235</v>
      </c>
      <c r="E254" s="175">
        <v>16.32</v>
      </c>
      <c r="F254" s="24" t="s">
        <v>185</v>
      </c>
      <c r="G254" s="24"/>
      <c r="H254" s="162"/>
      <c r="I254" s="162"/>
      <c r="J254" s="171" t="s">
        <v>583</v>
      </c>
      <c r="K254" s="162"/>
    </row>
    <row r="255" s="1" customFormat="1" ht="18" customHeight="1" spans="1:11">
      <c r="A255" s="174">
        <v>46198</v>
      </c>
      <c r="B255" s="174" t="s">
        <v>152</v>
      </c>
      <c r="C255" s="174" t="s">
        <v>35</v>
      </c>
      <c r="D255" s="174" t="s">
        <v>235</v>
      </c>
      <c r="E255" s="175">
        <v>16.32</v>
      </c>
      <c r="F255" s="24" t="s">
        <v>185</v>
      </c>
      <c r="G255" s="24"/>
      <c r="H255" s="162"/>
      <c r="I255" s="162"/>
      <c r="J255" s="171" t="s">
        <v>584</v>
      </c>
      <c r="K255" s="162"/>
    </row>
    <row r="256" s="1" customFormat="1" ht="18" customHeight="1" spans="1:11">
      <c r="A256" s="174">
        <v>46198</v>
      </c>
      <c r="B256" s="174" t="s">
        <v>28</v>
      </c>
      <c r="C256" s="174" t="s">
        <v>30</v>
      </c>
      <c r="D256" s="174" t="s">
        <v>29</v>
      </c>
      <c r="E256" s="175">
        <v>17.92</v>
      </c>
      <c r="F256" s="24" t="s">
        <v>573</v>
      </c>
      <c r="G256" s="24"/>
      <c r="H256" s="162"/>
      <c r="I256" s="162"/>
      <c r="J256" s="171" t="s">
        <v>585</v>
      </c>
      <c r="K256" s="162"/>
    </row>
    <row r="257" s="1" customFormat="1" ht="18" customHeight="1" spans="1:11">
      <c r="A257" s="174">
        <v>46198</v>
      </c>
      <c r="B257" s="174" t="s">
        <v>28</v>
      </c>
      <c r="C257" s="174" t="s">
        <v>30</v>
      </c>
      <c r="D257" s="174" t="s">
        <v>29</v>
      </c>
      <c r="E257" s="175">
        <v>17.92</v>
      </c>
      <c r="F257" s="24" t="s">
        <v>573</v>
      </c>
      <c r="G257" s="24"/>
      <c r="H257" s="162"/>
      <c r="I257" s="162"/>
      <c r="J257" s="171" t="s">
        <v>586</v>
      </c>
      <c r="K257" s="162"/>
    </row>
    <row r="258" s="1" customFormat="1" ht="18" customHeight="1" spans="1:11">
      <c r="A258" s="174">
        <v>46198</v>
      </c>
      <c r="B258" s="174" t="s">
        <v>28</v>
      </c>
      <c r="C258" s="174" t="s">
        <v>41</v>
      </c>
      <c r="D258" s="174" t="s">
        <v>51</v>
      </c>
      <c r="E258" s="175">
        <v>19.2</v>
      </c>
      <c r="F258" s="24" t="s">
        <v>531</v>
      </c>
      <c r="G258" s="24"/>
      <c r="H258" s="162"/>
      <c r="I258" s="162"/>
      <c r="J258" s="171" t="s">
        <v>587</v>
      </c>
      <c r="K258" s="162"/>
    </row>
    <row r="259" s="1" customFormat="1" ht="18" customHeight="1" spans="1:11">
      <c r="A259" s="174">
        <v>46198</v>
      </c>
      <c r="B259" s="174" t="s">
        <v>28</v>
      </c>
      <c r="C259" s="174" t="s">
        <v>41</v>
      </c>
      <c r="D259" s="174" t="s">
        <v>51</v>
      </c>
      <c r="E259" s="175">
        <v>19.2</v>
      </c>
      <c r="F259" s="24" t="s">
        <v>531</v>
      </c>
      <c r="G259" s="24"/>
      <c r="H259" s="162"/>
      <c r="I259" s="162"/>
      <c r="J259" s="171" t="s">
        <v>588</v>
      </c>
      <c r="K259" s="162"/>
    </row>
    <row r="260" s="1" customFormat="1" ht="18" customHeight="1" spans="1:11">
      <c r="A260" s="174">
        <v>46199</v>
      </c>
      <c r="B260" s="174" t="s">
        <v>28</v>
      </c>
      <c r="C260" s="174" t="s">
        <v>41</v>
      </c>
      <c r="D260" s="174" t="s">
        <v>51</v>
      </c>
      <c r="E260" s="175">
        <v>19.2</v>
      </c>
      <c r="F260" s="24" t="s">
        <v>531</v>
      </c>
      <c r="G260" s="24"/>
      <c r="H260" s="162"/>
      <c r="I260" s="162"/>
      <c r="J260" s="177" t="s">
        <v>589</v>
      </c>
      <c r="K260" s="162"/>
    </row>
    <row r="261" s="1" customFormat="1" ht="18" customHeight="1" spans="1:11">
      <c r="A261" s="174">
        <v>46199</v>
      </c>
      <c r="B261" s="174" t="s">
        <v>28</v>
      </c>
      <c r="C261" s="174" t="s">
        <v>41</v>
      </c>
      <c r="D261" s="174" t="s">
        <v>51</v>
      </c>
      <c r="E261" s="175">
        <v>19.2</v>
      </c>
      <c r="F261" s="24" t="s">
        <v>531</v>
      </c>
      <c r="G261" s="24"/>
      <c r="H261" s="162"/>
      <c r="I261" s="162"/>
      <c r="J261" s="177" t="s">
        <v>590</v>
      </c>
      <c r="K261" s="162"/>
    </row>
    <row r="262" s="1" customFormat="1" ht="18" customHeight="1" spans="1:11">
      <c r="A262" s="174">
        <v>46199</v>
      </c>
      <c r="B262" s="174" t="s">
        <v>28</v>
      </c>
      <c r="C262" s="174" t="s">
        <v>41</v>
      </c>
      <c r="D262" s="174" t="s">
        <v>51</v>
      </c>
      <c r="E262" s="175">
        <v>19.2</v>
      </c>
      <c r="F262" s="24" t="s">
        <v>531</v>
      </c>
      <c r="G262" s="24"/>
      <c r="H262" s="162"/>
      <c r="I262" s="162"/>
      <c r="J262" s="177" t="s">
        <v>587</v>
      </c>
      <c r="K262" s="162"/>
    </row>
    <row r="263" s="1" customFormat="1" ht="18" customHeight="1" spans="1:11">
      <c r="A263" s="174">
        <v>46199</v>
      </c>
      <c r="B263" s="174" t="s">
        <v>28</v>
      </c>
      <c r="C263" s="174" t="s">
        <v>41</v>
      </c>
      <c r="D263" s="174" t="s">
        <v>51</v>
      </c>
      <c r="E263" s="175">
        <v>19.2</v>
      </c>
      <c r="F263" s="24" t="s">
        <v>531</v>
      </c>
      <c r="G263" s="24"/>
      <c r="H263" s="162"/>
      <c r="I263" s="162"/>
      <c r="J263" s="177" t="s">
        <v>591</v>
      </c>
      <c r="K263" s="162"/>
    </row>
    <row r="264" s="1" customFormat="1" ht="18" customHeight="1" spans="1:11">
      <c r="A264" s="174">
        <v>46199</v>
      </c>
      <c r="B264" s="174" t="s">
        <v>28</v>
      </c>
      <c r="C264" s="174" t="s">
        <v>30</v>
      </c>
      <c r="D264" s="174" t="s">
        <v>29</v>
      </c>
      <c r="E264" s="175">
        <v>17.92</v>
      </c>
      <c r="F264" s="24" t="s">
        <v>573</v>
      </c>
      <c r="G264" s="24"/>
      <c r="H264" s="162"/>
      <c r="I264" s="162"/>
      <c r="J264" s="177" t="s">
        <v>592</v>
      </c>
      <c r="K264" s="162"/>
    </row>
    <row r="265" s="1" customFormat="1" ht="18" customHeight="1" spans="1:11">
      <c r="A265" s="174">
        <v>46199</v>
      </c>
      <c r="B265" s="174" t="s">
        <v>28</v>
      </c>
      <c r="C265" s="174" t="s">
        <v>30</v>
      </c>
      <c r="D265" s="174" t="s">
        <v>29</v>
      </c>
      <c r="E265" s="175">
        <v>17.92</v>
      </c>
      <c r="F265" s="24" t="s">
        <v>573</v>
      </c>
      <c r="G265" s="24"/>
      <c r="H265" s="162"/>
      <c r="I265" s="162"/>
      <c r="J265" s="177" t="s">
        <v>590</v>
      </c>
      <c r="K265" s="162"/>
    </row>
    <row r="266" s="1" customFormat="1" ht="18" customHeight="1" spans="1:11">
      <c r="A266" s="174">
        <v>46200</v>
      </c>
      <c r="B266" s="174" t="s">
        <v>28</v>
      </c>
      <c r="C266" s="174" t="s">
        <v>41</v>
      </c>
      <c r="D266" s="174" t="s">
        <v>51</v>
      </c>
      <c r="E266" s="175">
        <v>19.2</v>
      </c>
      <c r="F266" s="24" t="s">
        <v>531</v>
      </c>
      <c r="G266" s="24"/>
      <c r="H266" s="162"/>
      <c r="I266" s="162"/>
      <c r="J266" s="177" t="s">
        <v>589</v>
      </c>
      <c r="K266" s="162"/>
    </row>
    <row r="267" s="1" customFormat="1" ht="18" customHeight="1" spans="1:11">
      <c r="A267" s="174">
        <v>46200</v>
      </c>
      <c r="B267" s="174" t="s">
        <v>28</v>
      </c>
      <c r="C267" s="174" t="s">
        <v>41</v>
      </c>
      <c r="D267" s="174" t="s">
        <v>51</v>
      </c>
      <c r="E267" s="175">
        <v>19.2</v>
      </c>
      <c r="F267" s="24" t="s">
        <v>531</v>
      </c>
      <c r="G267" s="24"/>
      <c r="H267" s="162"/>
      <c r="I267" s="162"/>
      <c r="J267" s="177" t="s">
        <v>589</v>
      </c>
      <c r="K267" s="162"/>
    </row>
    <row r="268" s="1" customFormat="1" ht="18" customHeight="1" spans="1:11">
      <c r="A268" s="174">
        <v>46200</v>
      </c>
      <c r="B268" s="174" t="s">
        <v>28</v>
      </c>
      <c r="C268" s="174" t="s">
        <v>41</v>
      </c>
      <c r="D268" s="174" t="s">
        <v>51</v>
      </c>
      <c r="E268" s="175">
        <v>19.2</v>
      </c>
      <c r="F268" s="24" t="s">
        <v>531</v>
      </c>
      <c r="G268" s="24"/>
      <c r="H268" s="162"/>
      <c r="I268" s="162"/>
      <c r="J268" s="177" t="s">
        <v>589</v>
      </c>
      <c r="K268" s="162"/>
    </row>
    <row r="269" s="1" customFormat="1" ht="18" customHeight="1" spans="1:11">
      <c r="A269" s="174">
        <v>46201</v>
      </c>
      <c r="B269" s="174" t="s">
        <v>28</v>
      </c>
      <c r="C269" s="174" t="s">
        <v>41</v>
      </c>
      <c r="D269" s="174" t="s">
        <v>51</v>
      </c>
      <c r="E269" s="175">
        <v>19.2</v>
      </c>
      <c r="F269" s="24" t="s">
        <v>531</v>
      </c>
      <c r="G269" s="24"/>
      <c r="H269" s="162"/>
      <c r="I269" s="162" t="s">
        <v>593</v>
      </c>
      <c r="J269" s="177" t="s">
        <v>589</v>
      </c>
      <c r="K269" s="162"/>
    </row>
    <row r="270" s="1" customFormat="1" ht="18" customHeight="1" spans="1:11">
      <c r="A270" s="174">
        <v>46201</v>
      </c>
      <c r="B270" s="174" t="s">
        <v>28</v>
      </c>
      <c r="C270" s="174" t="s">
        <v>30</v>
      </c>
      <c r="D270" s="174" t="s">
        <v>29</v>
      </c>
      <c r="E270" s="175">
        <v>17.92</v>
      </c>
      <c r="F270" s="24" t="s">
        <v>573</v>
      </c>
      <c r="G270" s="24"/>
      <c r="H270" s="162"/>
      <c r="I270" s="162" t="s">
        <v>594</v>
      </c>
      <c r="J270" s="177" t="s">
        <v>499</v>
      </c>
      <c r="K270" s="162"/>
    </row>
    <row r="271" s="1" customFormat="1" ht="18" customHeight="1" spans="1:11">
      <c r="A271" s="174">
        <v>46201</v>
      </c>
      <c r="B271" s="174" t="s">
        <v>28</v>
      </c>
      <c r="C271" s="174" t="s">
        <v>41</v>
      </c>
      <c r="D271" s="174" t="s">
        <v>51</v>
      </c>
      <c r="E271" s="175">
        <v>19.2</v>
      </c>
      <c r="F271" s="24" t="s">
        <v>531</v>
      </c>
      <c r="G271" s="24"/>
      <c r="H271" s="162"/>
      <c r="I271" s="162" t="s">
        <v>595</v>
      </c>
      <c r="J271" s="177" t="s">
        <v>596</v>
      </c>
      <c r="K271" s="162"/>
    </row>
    <row r="272" s="1" customFormat="1" ht="18" customHeight="1" spans="1:11">
      <c r="A272" s="174">
        <v>46201</v>
      </c>
      <c r="B272" s="174" t="s">
        <v>28</v>
      </c>
      <c r="C272" s="174" t="s">
        <v>41</v>
      </c>
      <c r="D272" s="174" t="s">
        <v>51</v>
      </c>
      <c r="E272" s="175">
        <v>19.2</v>
      </c>
      <c r="F272" s="24" t="s">
        <v>531</v>
      </c>
      <c r="G272" s="24"/>
      <c r="H272" s="162"/>
      <c r="I272" s="162" t="s">
        <v>597</v>
      </c>
      <c r="J272" s="177" t="s">
        <v>589</v>
      </c>
      <c r="K272" s="162"/>
    </row>
    <row r="273" s="1" customFormat="1" ht="18" customHeight="1" spans="1:11">
      <c r="A273" s="174">
        <v>46201</v>
      </c>
      <c r="B273" s="174" t="s">
        <v>28</v>
      </c>
      <c r="C273" s="174" t="s">
        <v>30</v>
      </c>
      <c r="D273" s="174" t="s">
        <v>29</v>
      </c>
      <c r="E273" s="175">
        <v>17.92</v>
      </c>
      <c r="F273" s="24" t="s">
        <v>573</v>
      </c>
      <c r="G273" s="24"/>
      <c r="H273" s="162"/>
      <c r="I273" s="162" t="s">
        <v>598</v>
      </c>
      <c r="J273" s="177" t="s">
        <v>499</v>
      </c>
      <c r="K273" s="162"/>
    </row>
    <row r="274" s="1" customFormat="1" ht="18" customHeight="1" spans="1:11">
      <c r="A274" s="174">
        <v>46201</v>
      </c>
      <c r="B274" s="174" t="s">
        <v>28</v>
      </c>
      <c r="C274" s="174" t="s">
        <v>41</v>
      </c>
      <c r="D274" s="174" t="s">
        <v>51</v>
      </c>
      <c r="E274" s="175">
        <v>19.2</v>
      </c>
      <c r="F274" s="24" t="s">
        <v>531</v>
      </c>
      <c r="G274" s="24"/>
      <c r="H274" s="162"/>
      <c r="I274" s="162" t="s">
        <v>599</v>
      </c>
      <c r="J274" s="177" t="s">
        <v>596</v>
      </c>
      <c r="K274" s="162"/>
    </row>
    <row r="275" s="1" customFormat="1" ht="18" customHeight="1" spans="1:11">
      <c r="A275" s="174">
        <v>46202</v>
      </c>
      <c r="B275" s="174" t="s">
        <v>28</v>
      </c>
      <c r="C275" s="174" t="s">
        <v>41</v>
      </c>
      <c r="D275" s="174" t="s">
        <v>51</v>
      </c>
      <c r="E275" s="175">
        <v>19.2</v>
      </c>
      <c r="F275" s="24" t="s">
        <v>531</v>
      </c>
      <c r="G275" s="24"/>
      <c r="H275" s="162"/>
      <c r="I275" s="162"/>
      <c r="J275" s="177" t="s">
        <v>498</v>
      </c>
      <c r="K275" s="162"/>
    </row>
    <row r="276" s="1" customFormat="1" ht="18" customHeight="1" spans="1:11">
      <c r="A276" s="174">
        <v>46202</v>
      </c>
      <c r="B276" s="174" t="s">
        <v>28</v>
      </c>
      <c r="C276" s="174" t="s">
        <v>41</v>
      </c>
      <c r="D276" s="174" t="s">
        <v>51</v>
      </c>
      <c r="E276" s="175">
        <v>19.2</v>
      </c>
      <c r="F276" s="24" t="s">
        <v>531</v>
      </c>
      <c r="G276" s="24"/>
      <c r="H276" s="162"/>
      <c r="I276" s="162"/>
      <c r="J276" s="177" t="s">
        <v>600</v>
      </c>
      <c r="K276" s="162"/>
    </row>
    <row r="277" s="1" customFormat="1" ht="18" customHeight="1" spans="1:11">
      <c r="A277" s="174">
        <v>46203</v>
      </c>
      <c r="B277" s="174" t="s">
        <v>28</v>
      </c>
      <c r="C277" s="174" t="s">
        <v>41</v>
      </c>
      <c r="D277" s="174" t="s">
        <v>51</v>
      </c>
      <c r="E277" s="175">
        <v>19.2</v>
      </c>
      <c r="F277" s="24" t="s">
        <v>531</v>
      </c>
      <c r="G277" s="24"/>
      <c r="H277" s="162"/>
      <c r="I277" s="162"/>
      <c r="J277" s="177" t="s">
        <v>589</v>
      </c>
      <c r="K277" s="162"/>
    </row>
    <row r="278" s="1" customFormat="1" ht="18" customHeight="1" spans="1:11">
      <c r="A278" s="174">
        <v>46203</v>
      </c>
      <c r="B278" s="174" t="s">
        <v>28</v>
      </c>
      <c r="C278" s="174" t="s">
        <v>41</v>
      </c>
      <c r="D278" s="174" t="s">
        <v>51</v>
      </c>
      <c r="E278" s="175">
        <v>19.2</v>
      </c>
      <c r="F278" s="24" t="s">
        <v>531</v>
      </c>
      <c r="G278" s="24"/>
      <c r="H278" s="162"/>
      <c r="I278" s="162"/>
      <c r="J278" s="177" t="s">
        <v>589</v>
      </c>
      <c r="K278" s="162"/>
    </row>
    <row r="279" s="1" customFormat="1" ht="18" customHeight="1" spans="1:11">
      <c r="A279" s="174">
        <v>46203</v>
      </c>
      <c r="B279" s="174" t="s">
        <v>28</v>
      </c>
      <c r="C279" s="174" t="s">
        <v>41</v>
      </c>
      <c r="D279" s="174" t="s">
        <v>51</v>
      </c>
      <c r="E279" s="175">
        <v>19.2</v>
      </c>
      <c r="F279" s="24" t="s">
        <v>531</v>
      </c>
      <c r="G279" s="24"/>
      <c r="H279" s="162"/>
      <c r="I279" s="162"/>
      <c r="J279" s="177" t="s">
        <v>601</v>
      </c>
      <c r="K279" s="162"/>
    </row>
    <row r="280" s="1" customFormat="1" ht="18" customHeight="1" spans="1:11">
      <c r="A280" s="174">
        <v>46204</v>
      </c>
      <c r="B280" s="174" t="s">
        <v>80</v>
      </c>
      <c r="C280" s="174" t="s">
        <v>30</v>
      </c>
      <c r="D280" s="174" t="s">
        <v>81</v>
      </c>
      <c r="E280" s="175">
        <v>7</v>
      </c>
      <c r="F280" s="24" t="s">
        <v>82</v>
      </c>
      <c r="G280" s="24"/>
      <c r="H280" s="162"/>
      <c r="I280" s="162"/>
      <c r="J280" s="177" t="s">
        <v>602</v>
      </c>
      <c r="K280" s="162"/>
    </row>
    <row r="281" s="1" customFormat="1" ht="18" customHeight="1" spans="1:11">
      <c r="A281" s="174">
        <v>46205</v>
      </c>
      <c r="B281" s="174" t="s">
        <v>28</v>
      </c>
      <c r="C281" s="174" t="s">
        <v>41</v>
      </c>
      <c r="D281" s="174" t="s">
        <v>83</v>
      </c>
      <c r="E281" s="175">
        <v>20.48</v>
      </c>
      <c r="F281" s="24" t="s">
        <v>68</v>
      </c>
      <c r="G281" s="24"/>
      <c r="H281" s="162"/>
      <c r="I281" s="162"/>
      <c r="J281" s="177" t="s">
        <v>603</v>
      </c>
      <c r="K281" s="162"/>
    </row>
    <row r="282" s="1" customFormat="1" ht="18" customHeight="1" spans="1:11">
      <c r="A282" s="174">
        <v>46205</v>
      </c>
      <c r="B282" s="174" t="s">
        <v>28</v>
      </c>
      <c r="C282" s="174" t="s">
        <v>41</v>
      </c>
      <c r="D282" s="174" t="s">
        <v>83</v>
      </c>
      <c r="E282" s="175">
        <v>20.48</v>
      </c>
      <c r="F282" s="24" t="s">
        <v>68</v>
      </c>
      <c r="G282" s="24"/>
      <c r="H282" s="162"/>
      <c r="I282" s="162"/>
      <c r="J282" s="177" t="s">
        <v>604</v>
      </c>
      <c r="K282" s="162"/>
    </row>
    <row r="283" s="1" customFormat="1" ht="18" customHeight="1" spans="1:11">
      <c r="A283" s="174">
        <v>46205</v>
      </c>
      <c r="B283" s="174" t="s">
        <v>28</v>
      </c>
      <c r="C283" s="174" t="s">
        <v>41</v>
      </c>
      <c r="D283" s="174" t="s">
        <v>83</v>
      </c>
      <c r="E283" s="175">
        <v>20.48</v>
      </c>
      <c r="F283" s="24" t="s">
        <v>68</v>
      </c>
      <c r="G283" s="24"/>
      <c r="H283" s="162"/>
      <c r="I283" s="162"/>
      <c r="J283" s="177" t="s">
        <v>605</v>
      </c>
      <c r="K283" s="162"/>
    </row>
    <row r="284" s="1" customFormat="1" ht="18" customHeight="1" spans="1:11">
      <c r="A284" s="174">
        <v>46206</v>
      </c>
      <c r="B284" s="174" t="s">
        <v>28</v>
      </c>
      <c r="C284" s="174" t="s">
        <v>41</v>
      </c>
      <c r="D284" s="174" t="s">
        <v>83</v>
      </c>
      <c r="E284" s="175">
        <v>20.48</v>
      </c>
      <c r="F284" s="24" t="s">
        <v>68</v>
      </c>
      <c r="G284" s="24"/>
      <c r="H284" s="162"/>
      <c r="I284" s="162"/>
      <c r="J284" s="177" t="s">
        <v>578</v>
      </c>
      <c r="K284" s="162"/>
    </row>
    <row r="285" s="1" customFormat="1" ht="18" customHeight="1" spans="1:11">
      <c r="A285" s="174">
        <v>46206</v>
      </c>
      <c r="B285" s="174" t="s">
        <v>28</v>
      </c>
      <c r="C285" s="174" t="s">
        <v>41</v>
      </c>
      <c r="D285" s="174" t="s">
        <v>83</v>
      </c>
      <c r="E285" s="175">
        <v>20.48</v>
      </c>
      <c r="F285" s="24" t="s">
        <v>68</v>
      </c>
      <c r="G285" s="24"/>
      <c r="H285" s="162"/>
      <c r="I285" s="162"/>
      <c r="J285" s="177" t="s">
        <v>603</v>
      </c>
      <c r="K285" s="162"/>
    </row>
    <row r="286" s="1" customFormat="1" ht="18" customHeight="1" spans="1:11">
      <c r="A286" s="174">
        <v>46206</v>
      </c>
      <c r="B286" s="174" t="s">
        <v>28</v>
      </c>
      <c r="C286" s="174" t="s">
        <v>41</v>
      </c>
      <c r="D286" s="174" t="s">
        <v>83</v>
      </c>
      <c r="E286" s="175">
        <v>20.48</v>
      </c>
      <c r="F286" s="24" t="s">
        <v>68</v>
      </c>
      <c r="G286" s="24"/>
      <c r="H286" s="162"/>
      <c r="I286" s="162"/>
      <c r="J286" s="177" t="s">
        <v>604</v>
      </c>
      <c r="K286" s="162"/>
    </row>
    <row r="287" s="1" customFormat="1" ht="18" customHeight="1" spans="1:11">
      <c r="A287" s="174">
        <v>46207</v>
      </c>
      <c r="B287" s="174" t="s">
        <v>28</v>
      </c>
      <c r="C287" s="174" t="s">
        <v>41</v>
      </c>
      <c r="D287" s="174" t="s">
        <v>83</v>
      </c>
      <c r="E287" s="175">
        <v>20.48</v>
      </c>
      <c r="F287" s="24" t="s">
        <v>68</v>
      </c>
      <c r="G287" s="24"/>
      <c r="H287" s="162"/>
      <c r="I287" s="162"/>
      <c r="J287" s="177" t="s">
        <v>578</v>
      </c>
      <c r="K287" s="162"/>
    </row>
    <row r="288" s="1" customFormat="1" ht="18" customHeight="1" spans="1:11">
      <c r="A288" s="174">
        <v>46207</v>
      </c>
      <c r="B288" s="174" t="s">
        <v>28</v>
      </c>
      <c r="C288" s="174" t="s">
        <v>41</v>
      </c>
      <c r="D288" s="174" t="s">
        <v>83</v>
      </c>
      <c r="E288" s="175">
        <v>20.48</v>
      </c>
      <c r="F288" s="24" t="s">
        <v>68</v>
      </c>
      <c r="G288" s="24"/>
      <c r="H288" s="162"/>
      <c r="I288" s="162"/>
      <c r="J288" s="177" t="s">
        <v>603</v>
      </c>
      <c r="K288" s="162"/>
    </row>
    <row r="289" s="1" customFormat="1" ht="18" customHeight="1" spans="1:11">
      <c r="A289" s="174">
        <v>46207</v>
      </c>
      <c r="B289" s="174" t="s">
        <v>28</v>
      </c>
      <c r="C289" s="174" t="s">
        <v>41</v>
      </c>
      <c r="D289" s="174" t="s">
        <v>83</v>
      </c>
      <c r="E289" s="175">
        <v>20.48</v>
      </c>
      <c r="F289" s="24" t="s">
        <v>68</v>
      </c>
      <c r="G289" s="24"/>
      <c r="H289" s="162"/>
      <c r="I289" s="162"/>
      <c r="J289" s="177" t="s">
        <v>604</v>
      </c>
      <c r="K289" s="162"/>
    </row>
    <row r="290" s="1" customFormat="1" ht="18" customHeight="1" spans="1:11">
      <c r="A290" s="174">
        <v>46210</v>
      </c>
      <c r="B290" s="174" t="s">
        <v>43</v>
      </c>
      <c r="C290" s="174" t="s">
        <v>47</v>
      </c>
      <c r="D290" s="174" t="s">
        <v>84</v>
      </c>
      <c r="E290" s="175">
        <v>5.01</v>
      </c>
      <c r="F290" s="24" t="s">
        <v>46</v>
      </c>
      <c r="G290" s="24"/>
      <c r="H290" s="162"/>
      <c r="I290" s="162"/>
      <c r="J290" s="178" t="s">
        <v>606</v>
      </c>
      <c r="K290" s="162"/>
    </row>
    <row r="291" s="1" customFormat="1" ht="18" customHeight="1" spans="1:11">
      <c r="A291" s="174">
        <v>46210</v>
      </c>
      <c r="B291" s="174" t="s">
        <v>43</v>
      </c>
      <c r="C291" s="174" t="s">
        <v>45</v>
      </c>
      <c r="D291" s="174" t="s">
        <v>84</v>
      </c>
      <c r="E291" s="175">
        <v>5.01</v>
      </c>
      <c r="F291" s="24" t="s">
        <v>46</v>
      </c>
      <c r="G291" s="24"/>
      <c r="H291" s="162"/>
      <c r="I291" s="162"/>
      <c r="J291" s="177"/>
      <c r="K291" s="162"/>
    </row>
    <row r="292" s="1" customFormat="1" ht="18" customHeight="1" spans="1:11">
      <c r="A292" s="174">
        <v>46210</v>
      </c>
      <c r="B292" s="174" t="s">
        <v>85</v>
      </c>
      <c r="C292" s="174" t="s">
        <v>35</v>
      </c>
      <c r="D292" s="174" t="s">
        <v>86</v>
      </c>
      <c r="E292" s="175">
        <v>2.865</v>
      </c>
      <c r="F292" s="25" t="s">
        <v>46</v>
      </c>
      <c r="G292" s="24"/>
      <c r="H292" s="162"/>
      <c r="I292" s="162"/>
      <c r="J292" s="177" t="s">
        <v>607</v>
      </c>
      <c r="K292" s="162"/>
    </row>
    <row r="293" s="1" customFormat="1" ht="18" customHeight="1" spans="1:11">
      <c r="A293" s="174">
        <v>46211</v>
      </c>
      <c r="B293" s="174" t="s">
        <v>28</v>
      </c>
      <c r="C293" s="174" t="s">
        <v>41</v>
      </c>
      <c r="D293" s="174" t="s">
        <v>83</v>
      </c>
      <c r="E293" s="175">
        <v>20.48</v>
      </c>
      <c r="F293" s="25" t="s">
        <v>68</v>
      </c>
      <c r="G293" s="24"/>
      <c r="H293" s="162"/>
      <c r="I293" s="162"/>
      <c r="J293" s="177" t="s">
        <v>605</v>
      </c>
      <c r="K293" s="162"/>
    </row>
    <row r="294" s="1" customFormat="1" ht="18" customHeight="1" spans="1:11">
      <c r="A294" s="174">
        <v>46211</v>
      </c>
      <c r="B294" s="174" t="s">
        <v>28</v>
      </c>
      <c r="C294" s="174" t="s">
        <v>41</v>
      </c>
      <c r="D294" s="174" t="s">
        <v>83</v>
      </c>
      <c r="E294" s="175">
        <v>20.48</v>
      </c>
      <c r="F294" s="25" t="s">
        <v>68</v>
      </c>
      <c r="G294" s="24"/>
      <c r="H294" s="162"/>
      <c r="I294" s="162"/>
      <c r="J294" s="177" t="s">
        <v>604</v>
      </c>
      <c r="K294" s="162"/>
    </row>
    <row r="295" s="1" customFormat="1" ht="18" customHeight="1" spans="1:11">
      <c r="A295" s="174">
        <v>46212</v>
      </c>
      <c r="B295" s="174" t="s">
        <v>28</v>
      </c>
      <c r="C295" s="174" t="s">
        <v>41</v>
      </c>
      <c r="D295" s="174" t="s">
        <v>83</v>
      </c>
      <c r="E295" s="175">
        <v>20.48</v>
      </c>
      <c r="F295" s="25" t="s">
        <v>68</v>
      </c>
      <c r="G295" s="24"/>
      <c r="H295" s="162"/>
      <c r="I295" s="162"/>
      <c r="J295" s="177" t="s">
        <v>608</v>
      </c>
      <c r="K295" s="162"/>
    </row>
    <row r="296" s="1" customFormat="1" ht="18" customHeight="1" spans="1:11">
      <c r="A296" s="174">
        <v>46212</v>
      </c>
      <c r="B296" s="174" t="s">
        <v>28</v>
      </c>
      <c r="C296" s="174" t="s">
        <v>41</v>
      </c>
      <c r="D296" s="174" t="s">
        <v>83</v>
      </c>
      <c r="E296" s="175">
        <v>20.48</v>
      </c>
      <c r="F296" s="25" t="s">
        <v>68</v>
      </c>
      <c r="G296" s="24"/>
      <c r="H296" s="162"/>
      <c r="I296" s="162"/>
      <c r="J296" s="177" t="s">
        <v>609</v>
      </c>
      <c r="K296" s="162"/>
    </row>
    <row r="297" s="1" customFormat="1" ht="18" customHeight="1" spans="1:11">
      <c r="A297" s="174">
        <v>46212</v>
      </c>
      <c r="B297" s="174" t="s">
        <v>85</v>
      </c>
      <c r="C297" s="174" t="s">
        <v>35</v>
      </c>
      <c r="D297" s="174" t="s">
        <v>86</v>
      </c>
      <c r="E297" s="175">
        <v>0.135</v>
      </c>
      <c r="F297" s="25" t="s">
        <v>46</v>
      </c>
      <c r="G297" s="24"/>
      <c r="H297" s="162"/>
      <c r="I297" s="162"/>
      <c r="J297" s="177" t="s">
        <v>610</v>
      </c>
      <c r="K297" s="162"/>
    </row>
    <row r="298" s="1" customFormat="1" ht="18" customHeight="1" spans="1:11">
      <c r="A298" s="174">
        <v>46216</v>
      </c>
      <c r="B298" s="174" t="s">
        <v>28</v>
      </c>
      <c r="C298" s="174" t="s">
        <v>41</v>
      </c>
      <c r="D298" s="174" t="s">
        <v>87</v>
      </c>
      <c r="E298" s="175">
        <v>24.2</v>
      </c>
      <c r="F298" s="176" t="s">
        <v>71</v>
      </c>
      <c r="G298" s="24"/>
      <c r="H298" s="162"/>
      <c r="I298" s="162"/>
      <c r="J298" s="177" t="s">
        <v>611</v>
      </c>
      <c r="K298" s="162"/>
    </row>
    <row r="299" s="1" customFormat="1" ht="18" customHeight="1" spans="1:11">
      <c r="A299" s="174">
        <v>46216</v>
      </c>
      <c r="B299" s="174" t="s">
        <v>28</v>
      </c>
      <c r="C299" s="174" t="s">
        <v>41</v>
      </c>
      <c r="D299" s="174" t="s">
        <v>87</v>
      </c>
      <c r="E299" s="175">
        <v>26.4</v>
      </c>
      <c r="F299" s="176" t="s">
        <v>71</v>
      </c>
      <c r="G299" s="24"/>
      <c r="H299" s="162"/>
      <c r="I299" s="162"/>
      <c r="J299" s="177" t="s">
        <v>612</v>
      </c>
      <c r="K299" s="162"/>
    </row>
    <row r="300" s="1" customFormat="1" ht="18" customHeight="1" spans="1:11">
      <c r="A300" s="174">
        <v>46217</v>
      </c>
      <c r="B300" s="174" t="s">
        <v>28</v>
      </c>
      <c r="C300" s="174" t="s">
        <v>41</v>
      </c>
      <c r="D300" s="174" t="s">
        <v>87</v>
      </c>
      <c r="E300" s="175">
        <f>7.04+18.48</f>
        <v>25.52</v>
      </c>
      <c r="F300" s="176" t="s">
        <v>71</v>
      </c>
      <c r="G300" s="24"/>
      <c r="H300" s="162"/>
      <c r="I300" s="162"/>
      <c r="J300" s="177" t="s">
        <v>613</v>
      </c>
      <c r="K300" s="162"/>
    </row>
    <row r="301" s="1" customFormat="1" ht="18" customHeight="1" spans="1:11">
      <c r="A301" s="174">
        <v>46218</v>
      </c>
      <c r="B301" s="174" t="s">
        <v>88</v>
      </c>
      <c r="C301" s="174" t="s">
        <v>35</v>
      </c>
      <c r="D301" s="174" t="s">
        <v>89</v>
      </c>
      <c r="E301" s="175">
        <v>0.06</v>
      </c>
      <c r="F301" s="176" t="s">
        <v>46</v>
      </c>
      <c r="G301" s="24"/>
      <c r="H301" s="162"/>
      <c r="I301" s="162"/>
      <c r="J301" s="177"/>
      <c r="K301" s="162"/>
    </row>
    <row r="302" s="1" customFormat="1" ht="18" customHeight="1" spans="1:11">
      <c r="A302" s="174">
        <v>46219</v>
      </c>
      <c r="B302" s="174" t="s">
        <v>66</v>
      </c>
      <c r="C302" s="174" t="s">
        <v>30</v>
      </c>
      <c r="D302" s="174" t="s">
        <v>90</v>
      </c>
      <c r="E302" s="175">
        <v>19.2</v>
      </c>
      <c r="F302" s="176" t="s">
        <v>91</v>
      </c>
      <c r="G302" s="24"/>
      <c r="H302" s="162"/>
      <c r="I302" s="162"/>
      <c r="J302" s="177" t="s">
        <v>614</v>
      </c>
      <c r="K302" s="162"/>
    </row>
    <row r="303" s="1" customFormat="1" ht="18" customHeight="1" spans="1:11">
      <c r="A303" s="174">
        <v>46219</v>
      </c>
      <c r="B303" s="174" t="s">
        <v>66</v>
      </c>
      <c r="C303" s="174" t="s">
        <v>30</v>
      </c>
      <c r="D303" s="174" t="s">
        <v>90</v>
      </c>
      <c r="E303" s="175">
        <v>19.2</v>
      </c>
      <c r="F303" s="176" t="s">
        <v>91</v>
      </c>
      <c r="G303" s="24"/>
      <c r="H303" s="162"/>
      <c r="I303" s="162"/>
      <c r="J303" s="177" t="s">
        <v>615</v>
      </c>
      <c r="K303" s="162"/>
    </row>
    <row r="304" s="1" customFormat="1" ht="18" customHeight="1" spans="1:11">
      <c r="A304" s="174">
        <v>46220</v>
      </c>
      <c r="B304" s="174" t="s">
        <v>66</v>
      </c>
      <c r="C304" s="174" t="s">
        <v>30</v>
      </c>
      <c r="D304" s="174" t="s">
        <v>90</v>
      </c>
      <c r="E304" s="175">
        <v>19.2</v>
      </c>
      <c r="F304" s="176" t="s">
        <v>91</v>
      </c>
      <c r="G304" s="24"/>
      <c r="H304" s="162"/>
      <c r="I304" s="162"/>
      <c r="J304" s="177" t="s">
        <v>616</v>
      </c>
      <c r="K304" s="162"/>
    </row>
    <row r="305" s="1" customFormat="1" ht="18" customHeight="1" spans="1:11">
      <c r="A305" s="174">
        <v>46220</v>
      </c>
      <c r="B305" s="174" t="s">
        <v>66</v>
      </c>
      <c r="C305" s="174" t="s">
        <v>30</v>
      </c>
      <c r="D305" s="174" t="s">
        <v>90</v>
      </c>
      <c r="E305" s="175">
        <v>19.2</v>
      </c>
      <c r="F305" s="176" t="s">
        <v>91</v>
      </c>
      <c r="G305" s="24"/>
      <c r="H305" s="162"/>
      <c r="I305" s="162"/>
      <c r="J305" s="177" t="s">
        <v>617</v>
      </c>
      <c r="K305" s="162"/>
    </row>
    <row r="306" s="1" customFormat="1" ht="18" customHeight="1" spans="1:11">
      <c r="A306" s="174">
        <v>46220</v>
      </c>
      <c r="B306" s="174" t="s">
        <v>66</v>
      </c>
      <c r="C306" s="174" t="s">
        <v>30</v>
      </c>
      <c r="D306" s="174" t="s">
        <v>90</v>
      </c>
      <c r="E306" s="175">
        <v>19.2</v>
      </c>
      <c r="F306" s="176" t="s">
        <v>91</v>
      </c>
      <c r="G306" s="24"/>
      <c r="H306" s="162"/>
      <c r="I306" s="162"/>
      <c r="J306" s="177" t="s">
        <v>618</v>
      </c>
      <c r="K306" s="162"/>
    </row>
    <row r="307" s="1" customFormat="1" ht="18" customHeight="1" spans="1:11">
      <c r="A307" s="174">
        <v>46221</v>
      </c>
      <c r="B307" s="174" t="s">
        <v>66</v>
      </c>
      <c r="C307" s="174" t="s">
        <v>30</v>
      </c>
      <c r="D307" s="174" t="s">
        <v>90</v>
      </c>
      <c r="E307" s="175">
        <v>19.2</v>
      </c>
      <c r="F307" s="176" t="s">
        <v>91</v>
      </c>
      <c r="G307" s="24"/>
      <c r="H307" s="162"/>
      <c r="I307" s="162"/>
      <c r="J307" s="177" t="s">
        <v>619</v>
      </c>
      <c r="K307" s="162"/>
    </row>
    <row r="308" s="1" customFormat="1" ht="18" customHeight="1" spans="1:11">
      <c r="A308" s="174">
        <v>46221</v>
      </c>
      <c r="B308" s="174" t="s">
        <v>66</v>
      </c>
      <c r="C308" s="174" t="s">
        <v>30</v>
      </c>
      <c r="D308" s="174" t="s">
        <v>90</v>
      </c>
      <c r="E308" s="175">
        <v>19.2</v>
      </c>
      <c r="F308" s="176" t="s">
        <v>91</v>
      </c>
      <c r="G308" s="24"/>
      <c r="H308" s="162"/>
      <c r="I308" s="162"/>
      <c r="J308" s="177" t="s">
        <v>620</v>
      </c>
      <c r="K308" s="162"/>
    </row>
    <row r="309" s="1" customFormat="1" ht="18" customHeight="1" spans="1:11">
      <c r="A309" s="174">
        <v>46221</v>
      </c>
      <c r="B309" s="174" t="s">
        <v>66</v>
      </c>
      <c r="C309" s="174" t="s">
        <v>30</v>
      </c>
      <c r="D309" s="174" t="s">
        <v>90</v>
      </c>
      <c r="E309" s="175">
        <v>19.2</v>
      </c>
      <c r="F309" s="176" t="s">
        <v>91</v>
      </c>
      <c r="G309" s="24"/>
      <c r="H309" s="162"/>
      <c r="I309" s="162"/>
      <c r="J309" s="177" t="s">
        <v>621</v>
      </c>
      <c r="K309" s="162"/>
    </row>
    <row r="310" s="1" customFormat="1" ht="18" customHeight="1" spans="1:12">
      <c r="A310" s="174">
        <v>46222</v>
      </c>
      <c r="B310" s="174" t="s">
        <v>165</v>
      </c>
      <c r="C310" s="174" t="s">
        <v>30</v>
      </c>
      <c r="D310" s="174" t="s">
        <v>223</v>
      </c>
      <c r="E310" s="175">
        <v>19.2</v>
      </c>
      <c r="F310" s="176" t="s">
        <v>622</v>
      </c>
      <c r="G310" s="24"/>
      <c r="H310" s="162"/>
      <c r="I310" s="162"/>
      <c r="J310" s="177" t="s">
        <v>605</v>
      </c>
      <c r="K310" s="162"/>
      <c r="L310" s="1" t="s">
        <v>623</v>
      </c>
    </row>
    <row r="311" s="1" customFormat="1" ht="18" customHeight="1" spans="1:12">
      <c r="A311" s="174">
        <v>46222</v>
      </c>
      <c r="B311" s="174" t="s">
        <v>165</v>
      </c>
      <c r="C311" s="174" t="s">
        <v>30</v>
      </c>
      <c r="D311" s="174" t="s">
        <v>236</v>
      </c>
      <c r="E311" s="175">
        <v>19.2</v>
      </c>
      <c r="F311" s="176" t="s">
        <v>622</v>
      </c>
      <c r="G311" s="24"/>
      <c r="H311" s="162"/>
      <c r="I311" s="162"/>
      <c r="J311" s="177" t="s">
        <v>624</v>
      </c>
      <c r="K311" s="162"/>
      <c r="L311" s="1" t="s">
        <v>623</v>
      </c>
    </row>
    <row r="312" s="1" customFormat="1" ht="18" customHeight="1" spans="1:12">
      <c r="A312" s="174">
        <v>46222</v>
      </c>
      <c r="B312" s="174" t="s">
        <v>165</v>
      </c>
      <c r="C312" s="174" t="s">
        <v>30</v>
      </c>
      <c r="D312" s="174" t="s">
        <v>236</v>
      </c>
      <c r="E312" s="175">
        <v>19.2</v>
      </c>
      <c r="F312" s="176" t="s">
        <v>622</v>
      </c>
      <c r="G312" s="24"/>
      <c r="H312" s="162"/>
      <c r="I312" s="162"/>
      <c r="J312" s="177" t="s">
        <v>625</v>
      </c>
      <c r="K312" s="162"/>
      <c r="L312" s="1" t="s">
        <v>623</v>
      </c>
    </row>
    <row r="313" s="1" customFormat="1" ht="18" customHeight="1" spans="1:11">
      <c r="A313" s="174">
        <v>46223</v>
      </c>
      <c r="B313" s="174" t="s">
        <v>28</v>
      </c>
      <c r="C313" s="174" t="s">
        <v>30</v>
      </c>
      <c r="D313" s="174" t="s">
        <v>92</v>
      </c>
      <c r="E313" s="175">
        <v>19.2</v>
      </c>
      <c r="F313" s="176" t="s">
        <v>626</v>
      </c>
      <c r="G313" s="24"/>
      <c r="H313" s="162"/>
      <c r="I313" s="162"/>
      <c r="J313" s="177" t="s">
        <v>627</v>
      </c>
      <c r="K313" s="162"/>
    </row>
    <row r="314" s="1" customFormat="1" ht="18" customHeight="1" spans="1:12">
      <c r="A314" s="174">
        <v>46224</v>
      </c>
      <c r="B314" s="174" t="s">
        <v>165</v>
      </c>
      <c r="C314" s="174" t="s">
        <v>30</v>
      </c>
      <c r="D314" s="174" t="s">
        <v>236</v>
      </c>
      <c r="E314" s="175">
        <v>19.2</v>
      </c>
      <c r="F314" s="176" t="s">
        <v>622</v>
      </c>
      <c r="G314" s="24"/>
      <c r="H314" s="162"/>
      <c r="I314" s="162"/>
      <c r="J314" s="177" t="s">
        <v>628</v>
      </c>
      <c r="K314" s="162"/>
      <c r="L314" s="1" t="s">
        <v>623</v>
      </c>
    </row>
    <row r="315" s="1" customFormat="1" ht="18" customHeight="1" spans="1:12">
      <c r="A315" s="174">
        <v>46224</v>
      </c>
      <c r="B315" s="174" t="s">
        <v>165</v>
      </c>
      <c r="C315" s="174" t="s">
        <v>30</v>
      </c>
      <c r="D315" s="174" t="s">
        <v>236</v>
      </c>
      <c r="E315" s="175">
        <v>19.2</v>
      </c>
      <c r="F315" s="176" t="s">
        <v>622</v>
      </c>
      <c r="G315" s="24"/>
      <c r="H315" s="162"/>
      <c r="I315" s="162"/>
      <c r="J315" s="177" t="s">
        <v>628</v>
      </c>
      <c r="K315" s="162"/>
      <c r="L315" s="1" t="s">
        <v>623</v>
      </c>
    </row>
    <row r="316" s="1" customFormat="1" ht="18" customHeight="1" spans="1:12">
      <c r="A316" s="174">
        <v>46224</v>
      </c>
      <c r="B316" s="174" t="s">
        <v>165</v>
      </c>
      <c r="C316" s="174" t="s">
        <v>30</v>
      </c>
      <c r="D316" s="174" t="s">
        <v>236</v>
      </c>
      <c r="E316" s="175">
        <v>19.2</v>
      </c>
      <c r="F316" s="176" t="s">
        <v>622</v>
      </c>
      <c r="G316" s="24"/>
      <c r="H316" s="162"/>
      <c r="I316" s="162"/>
      <c r="J316" s="177" t="s">
        <v>629</v>
      </c>
      <c r="K316" s="162"/>
      <c r="L316" s="1" t="s">
        <v>623</v>
      </c>
    </row>
    <row r="317" s="1" customFormat="1" ht="18" customHeight="1" spans="1:11">
      <c r="A317" s="174">
        <v>46224</v>
      </c>
      <c r="B317" s="174" t="s">
        <v>93</v>
      </c>
      <c r="C317" s="174" t="s">
        <v>30</v>
      </c>
      <c r="D317" s="174" t="s">
        <v>94</v>
      </c>
      <c r="E317" s="175">
        <v>0.3</v>
      </c>
      <c r="F317" s="176" t="s">
        <v>82</v>
      </c>
      <c r="G317" s="24"/>
      <c r="H317" s="162"/>
      <c r="I317" s="162"/>
      <c r="J317" s="177" t="s">
        <v>630</v>
      </c>
      <c r="K317" s="162"/>
    </row>
    <row r="318" s="1" customFormat="1" ht="18" customHeight="1" spans="1:11">
      <c r="A318" s="174">
        <v>46225</v>
      </c>
      <c r="B318" s="174" t="s">
        <v>43</v>
      </c>
      <c r="C318" s="174" t="s">
        <v>45</v>
      </c>
      <c r="D318" s="174" t="s">
        <v>95</v>
      </c>
      <c r="E318" s="175">
        <v>6</v>
      </c>
      <c r="F318" s="176" t="s">
        <v>46</v>
      </c>
      <c r="G318" s="24"/>
      <c r="H318" s="162"/>
      <c r="I318" s="162"/>
      <c r="J318" s="177" t="s">
        <v>631</v>
      </c>
      <c r="K318" s="162"/>
    </row>
    <row r="319" s="1" customFormat="1" ht="18" customHeight="1" spans="1:12">
      <c r="A319" s="174">
        <v>46228</v>
      </c>
      <c r="B319" s="174" t="s">
        <v>464</v>
      </c>
      <c r="C319" s="174" t="s">
        <v>35</v>
      </c>
      <c r="D319" s="174" t="s">
        <v>239</v>
      </c>
      <c r="E319" s="175">
        <v>16.32</v>
      </c>
      <c r="F319" s="176" t="s">
        <v>240</v>
      </c>
      <c r="G319" s="24"/>
      <c r="H319" s="162"/>
      <c r="I319" s="162"/>
      <c r="J319" s="177" t="s">
        <v>632</v>
      </c>
      <c r="K319" s="162"/>
      <c r="L319" s="1" t="s">
        <v>623</v>
      </c>
    </row>
    <row r="320" s="1" customFormat="1" ht="18" customHeight="1" spans="1:12">
      <c r="A320" s="174">
        <v>46228</v>
      </c>
      <c r="B320" s="174" t="s">
        <v>464</v>
      </c>
      <c r="C320" s="174" t="s">
        <v>35</v>
      </c>
      <c r="D320" s="174" t="s">
        <v>239</v>
      </c>
      <c r="E320" s="175">
        <v>16.32</v>
      </c>
      <c r="F320" s="176" t="s">
        <v>240</v>
      </c>
      <c r="G320" s="24"/>
      <c r="H320" s="162"/>
      <c r="I320" s="162"/>
      <c r="J320" s="177" t="s">
        <v>633</v>
      </c>
      <c r="K320" s="162"/>
      <c r="L320" s="1" t="s">
        <v>623</v>
      </c>
    </row>
    <row r="321" s="1" customFormat="1" ht="18" customHeight="1" spans="1:12">
      <c r="A321" s="174">
        <v>46228</v>
      </c>
      <c r="B321" s="174" t="s">
        <v>464</v>
      </c>
      <c r="C321" s="174" t="s">
        <v>35</v>
      </c>
      <c r="D321" s="174" t="s">
        <v>239</v>
      </c>
      <c r="E321" s="175">
        <v>16.32</v>
      </c>
      <c r="F321" s="176" t="s">
        <v>240</v>
      </c>
      <c r="G321" s="24"/>
      <c r="H321" s="162"/>
      <c r="I321" s="162"/>
      <c r="J321" s="177" t="s">
        <v>442</v>
      </c>
      <c r="K321" s="162"/>
      <c r="L321" s="1" t="s">
        <v>623</v>
      </c>
    </row>
    <row r="322" s="1" customFormat="1" ht="18" customHeight="1" spans="1:12">
      <c r="A322" s="174">
        <v>46229</v>
      </c>
      <c r="B322" s="174" t="s">
        <v>464</v>
      </c>
      <c r="C322" s="174" t="s">
        <v>35</v>
      </c>
      <c r="D322" s="174" t="s">
        <v>239</v>
      </c>
      <c r="E322" s="175">
        <v>16.32</v>
      </c>
      <c r="F322" s="176" t="s">
        <v>240</v>
      </c>
      <c r="G322" s="24"/>
      <c r="H322" s="162"/>
      <c r="I322" s="162"/>
      <c r="J322" s="177" t="s">
        <v>632</v>
      </c>
      <c r="K322" s="162"/>
      <c r="L322" s="1" t="s">
        <v>623</v>
      </c>
    </row>
    <row r="323" s="1" customFormat="1" ht="18" customHeight="1" spans="1:11">
      <c r="A323" s="174">
        <v>46229</v>
      </c>
      <c r="B323" s="174" t="s">
        <v>28</v>
      </c>
      <c r="C323" s="174" t="s">
        <v>30</v>
      </c>
      <c r="D323" s="174" t="s">
        <v>29</v>
      </c>
      <c r="E323" s="175">
        <v>17.92</v>
      </c>
      <c r="F323" s="176" t="s">
        <v>573</v>
      </c>
      <c r="G323" s="24"/>
      <c r="H323" s="162"/>
      <c r="I323" s="162"/>
      <c r="J323" s="177" t="s">
        <v>496</v>
      </c>
      <c r="K323" s="162"/>
    </row>
    <row r="324" s="1" customFormat="1" ht="18" customHeight="1" spans="1:11">
      <c r="A324" s="174">
        <v>46229</v>
      </c>
      <c r="B324" s="174" t="s">
        <v>28</v>
      </c>
      <c r="C324" s="174" t="s">
        <v>30</v>
      </c>
      <c r="D324" s="174" t="s">
        <v>29</v>
      </c>
      <c r="E324" s="175">
        <v>17.92</v>
      </c>
      <c r="F324" s="176" t="s">
        <v>573</v>
      </c>
      <c r="G324" s="24"/>
      <c r="H324" s="162"/>
      <c r="I324" s="162"/>
      <c r="J324" s="177" t="s">
        <v>589</v>
      </c>
      <c r="K324" s="162"/>
    </row>
    <row r="325" s="1" customFormat="1" ht="18" customHeight="1" spans="1:11">
      <c r="A325" s="174">
        <v>46229</v>
      </c>
      <c r="B325" s="174" t="s">
        <v>28</v>
      </c>
      <c r="C325" s="174" t="s">
        <v>30</v>
      </c>
      <c r="D325" s="174" t="s">
        <v>29</v>
      </c>
      <c r="E325" s="175">
        <v>17.92</v>
      </c>
      <c r="F325" s="176" t="s">
        <v>573</v>
      </c>
      <c r="G325" s="24"/>
      <c r="H325" s="162"/>
      <c r="I325" s="162"/>
      <c r="J325" s="177" t="s">
        <v>499</v>
      </c>
      <c r="K325" s="162"/>
    </row>
    <row r="326" s="1" customFormat="1" ht="18" customHeight="1" spans="1:11">
      <c r="A326" s="174">
        <v>46229</v>
      </c>
      <c r="B326" s="174" t="s">
        <v>28</v>
      </c>
      <c r="C326" s="174" t="s">
        <v>30</v>
      </c>
      <c r="D326" s="174" t="s">
        <v>29</v>
      </c>
      <c r="E326" s="175">
        <v>17.92</v>
      </c>
      <c r="F326" s="176" t="s">
        <v>573</v>
      </c>
      <c r="G326" s="24"/>
      <c r="H326" s="162"/>
      <c r="I326" s="162"/>
      <c r="J326" s="177" t="s">
        <v>590</v>
      </c>
      <c r="K326" s="162"/>
    </row>
    <row r="327" s="1" customFormat="1" ht="18" customHeight="1" spans="1:11">
      <c r="A327" s="174">
        <v>46229</v>
      </c>
      <c r="B327" s="174" t="s">
        <v>28</v>
      </c>
      <c r="C327" s="174" t="s">
        <v>30</v>
      </c>
      <c r="D327" s="174" t="s">
        <v>29</v>
      </c>
      <c r="E327" s="175">
        <v>17.92</v>
      </c>
      <c r="F327" s="176" t="s">
        <v>573</v>
      </c>
      <c r="G327" s="24"/>
      <c r="H327" s="162"/>
      <c r="I327" s="162"/>
      <c r="J327" s="177" t="s">
        <v>496</v>
      </c>
      <c r="K327" s="162"/>
    </row>
    <row r="328" s="1" customFormat="1" ht="18" customHeight="1" spans="1:11">
      <c r="A328" s="174">
        <v>46229</v>
      </c>
      <c r="B328" s="174" t="s">
        <v>28</v>
      </c>
      <c r="C328" s="174" t="s">
        <v>30</v>
      </c>
      <c r="D328" s="174" t="s">
        <v>29</v>
      </c>
      <c r="E328" s="175">
        <v>17.92</v>
      </c>
      <c r="F328" s="176" t="s">
        <v>573</v>
      </c>
      <c r="G328" s="24"/>
      <c r="H328" s="162"/>
      <c r="I328" s="162"/>
      <c r="J328" s="177" t="s">
        <v>499</v>
      </c>
      <c r="K328" s="162"/>
    </row>
    <row r="329" s="1" customFormat="1" ht="18" customHeight="1" spans="1:11">
      <c r="A329" s="174">
        <v>46229</v>
      </c>
      <c r="B329" s="174" t="s">
        <v>28</v>
      </c>
      <c r="C329" s="174" t="s">
        <v>30</v>
      </c>
      <c r="D329" s="174" t="s">
        <v>29</v>
      </c>
      <c r="E329" s="175">
        <v>17.92</v>
      </c>
      <c r="F329" s="176" t="s">
        <v>573</v>
      </c>
      <c r="G329" s="24"/>
      <c r="H329" s="162"/>
      <c r="I329" s="162"/>
      <c r="J329" s="177" t="s">
        <v>589</v>
      </c>
      <c r="K329" s="162"/>
    </row>
    <row r="330" s="1" customFormat="1" ht="18" customHeight="1" spans="1:11">
      <c r="A330" s="174">
        <v>46230</v>
      </c>
      <c r="B330" s="174" t="s">
        <v>188</v>
      </c>
      <c r="C330" s="174" t="s">
        <v>35</v>
      </c>
      <c r="D330" s="174" t="s">
        <v>241</v>
      </c>
      <c r="E330" s="175">
        <v>16.32</v>
      </c>
      <c r="F330" s="176" t="s">
        <v>551</v>
      </c>
      <c r="G330" s="24"/>
      <c r="H330" s="162"/>
      <c r="I330" s="162"/>
      <c r="J330" s="177" t="s">
        <v>634</v>
      </c>
      <c r="K330" s="162"/>
    </row>
    <row r="331" s="1" customFormat="1" ht="18" customHeight="1" spans="1:12">
      <c r="A331" s="174">
        <v>46230</v>
      </c>
      <c r="B331" s="174" t="s">
        <v>176</v>
      </c>
      <c r="C331" s="174" t="s">
        <v>30</v>
      </c>
      <c r="D331" s="174" t="s">
        <v>238</v>
      </c>
      <c r="E331" s="175">
        <v>19.2</v>
      </c>
      <c r="F331" s="176" t="s">
        <v>635</v>
      </c>
      <c r="G331" s="24"/>
      <c r="H331" s="162"/>
      <c r="I331" s="162"/>
      <c r="J331" s="177" t="s">
        <v>429</v>
      </c>
      <c r="K331" s="162"/>
      <c r="L331" s="1" t="s">
        <v>623</v>
      </c>
    </row>
    <row r="332" s="1" customFormat="1" ht="18" customHeight="1" spans="1:12">
      <c r="A332" s="174">
        <v>46230</v>
      </c>
      <c r="B332" s="174" t="s">
        <v>176</v>
      </c>
      <c r="C332" s="174" t="s">
        <v>30</v>
      </c>
      <c r="D332" s="174" t="s">
        <v>238</v>
      </c>
      <c r="E332" s="175">
        <v>19.2</v>
      </c>
      <c r="F332" s="176" t="s">
        <v>635</v>
      </c>
      <c r="G332" s="24"/>
      <c r="H332" s="162"/>
      <c r="I332" s="162"/>
      <c r="J332" s="177" t="s">
        <v>442</v>
      </c>
      <c r="K332" s="162"/>
      <c r="L332" s="1" t="s">
        <v>623</v>
      </c>
    </row>
    <row r="333" s="1" customFormat="1" ht="18" customHeight="1" spans="1:12">
      <c r="A333" s="174">
        <v>46230</v>
      </c>
      <c r="B333" s="174" t="s">
        <v>464</v>
      </c>
      <c r="C333" s="174" t="s">
        <v>35</v>
      </c>
      <c r="D333" s="174" t="s">
        <v>239</v>
      </c>
      <c r="E333" s="175">
        <v>16.32</v>
      </c>
      <c r="F333" s="176" t="s">
        <v>437</v>
      </c>
      <c r="G333" s="24"/>
      <c r="H333" s="162"/>
      <c r="I333" s="162"/>
      <c r="J333" s="177" t="s">
        <v>429</v>
      </c>
      <c r="K333" s="162"/>
      <c r="L333" s="1" t="s">
        <v>623</v>
      </c>
    </row>
    <row r="334" s="1" customFormat="1" ht="18" customHeight="1" spans="1:12">
      <c r="A334" s="174">
        <v>46230</v>
      </c>
      <c r="B334" s="174" t="s">
        <v>464</v>
      </c>
      <c r="C334" s="174" t="s">
        <v>35</v>
      </c>
      <c r="D334" s="174" t="s">
        <v>239</v>
      </c>
      <c r="E334" s="175">
        <v>16.32</v>
      </c>
      <c r="F334" s="176" t="s">
        <v>437</v>
      </c>
      <c r="G334" s="24"/>
      <c r="H334" s="162"/>
      <c r="I334" s="162"/>
      <c r="J334" s="177" t="s">
        <v>442</v>
      </c>
      <c r="K334" s="162"/>
      <c r="L334" s="1" t="s">
        <v>623</v>
      </c>
    </row>
    <row r="335" s="1" customFormat="1" ht="18" customHeight="1" spans="1:12">
      <c r="A335" s="174">
        <v>46231</v>
      </c>
      <c r="B335" s="174" t="s">
        <v>28</v>
      </c>
      <c r="C335" s="174" t="s">
        <v>41</v>
      </c>
      <c r="D335" s="174" t="s">
        <v>92</v>
      </c>
      <c r="E335" s="175">
        <v>20.5</v>
      </c>
      <c r="F335" s="176" t="s">
        <v>636</v>
      </c>
      <c r="G335" s="24"/>
      <c r="H335" s="162"/>
      <c r="I335" s="163" t="s">
        <v>637</v>
      </c>
      <c r="J335" s="177" t="s">
        <v>638</v>
      </c>
      <c r="K335" s="162"/>
      <c r="L335" s="1" t="s">
        <v>623</v>
      </c>
    </row>
    <row r="336" s="1" customFormat="1" ht="18" customHeight="1" spans="1:12">
      <c r="A336" s="174">
        <v>46231</v>
      </c>
      <c r="B336" s="174" t="s">
        <v>28</v>
      </c>
      <c r="C336" s="174" t="s">
        <v>41</v>
      </c>
      <c r="D336" s="174" t="s">
        <v>92</v>
      </c>
      <c r="E336" s="175">
        <v>20.5</v>
      </c>
      <c r="F336" s="176" t="s">
        <v>636</v>
      </c>
      <c r="G336" s="24"/>
      <c r="H336" s="162"/>
      <c r="I336" s="163" t="s">
        <v>639</v>
      </c>
      <c r="J336" s="177" t="s">
        <v>640</v>
      </c>
      <c r="K336" s="162"/>
      <c r="L336" s="1" t="s">
        <v>623</v>
      </c>
    </row>
    <row r="337" s="1" customFormat="1" ht="18" customHeight="1" spans="1:12">
      <c r="A337" s="174">
        <v>46232</v>
      </c>
      <c r="B337" s="174" t="s">
        <v>28</v>
      </c>
      <c r="C337" s="174" t="s">
        <v>41</v>
      </c>
      <c r="D337" s="174" t="s">
        <v>51</v>
      </c>
      <c r="E337" s="175">
        <v>19.2</v>
      </c>
      <c r="F337" s="176" t="s">
        <v>641</v>
      </c>
      <c r="G337" s="24"/>
      <c r="H337" s="162"/>
      <c r="I337" s="163"/>
      <c r="J337" s="177" t="s">
        <v>642</v>
      </c>
      <c r="K337" s="162"/>
      <c r="L337" s="1" t="s">
        <v>623</v>
      </c>
    </row>
    <row r="338" s="1" customFormat="1" ht="18" customHeight="1" spans="1:12">
      <c r="A338" s="174">
        <v>46232</v>
      </c>
      <c r="B338" s="174" t="s">
        <v>28</v>
      </c>
      <c r="C338" s="174" t="s">
        <v>41</v>
      </c>
      <c r="D338" s="174" t="s">
        <v>51</v>
      </c>
      <c r="E338" s="175">
        <v>19.2</v>
      </c>
      <c r="F338" s="176" t="s">
        <v>641</v>
      </c>
      <c r="G338" s="24"/>
      <c r="H338" s="162"/>
      <c r="I338" s="163"/>
      <c r="J338" s="177" t="s">
        <v>643</v>
      </c>
      <c r="K338" s="162"/>
      <c r="L338" s="1" t="s">
        <v>623</v>
      </c>
    </row>
    <row r="339" s="1" customFormat="1" ht="18" customHeight="1" spans="1:12">
      <c r="A339" s="174">
        <v>46232</v>
      </c>
      <c r="B339" s="174" t="s">
        <v>28</v>
      </c>
      <c r="C339" s="174" t="s">
        <v>41</v>
      </c>
      <c r="D339" s="174" t="s">
        <v>51</v>
      </c>
      <c r="E339" s="175">
        <v>19.2</v>
      </c>
      <c r="F339" s="176" t="s">
        <v>641</v>
      </c>
      <c r="G339" s="24"/>
      <c r="H339" s="162"/>
      <c r="I339" s="163"/>
      <c r="J339" s="177" t="s">
        <v>554</v>
      </c>
      <c r="K339" s="162"/>
      <c r="L339" s="1" t="s">
        <v>623</v>
      </c>
    </row>
    <row r="340" s="1" customFormat="1" ht="18" customHeight="1" spans="1:12">
      <c r="A340" s="174">
        <v>46232</v>
      </c>
      <c r="B340" s="174" t="s">
        <v>28</v>
      </c>
      <c r="C340" s="174" t="s">
        <v>41</v>
      </c>
      <c r="D340" s="174" t="s">
        <v>51</v>
      </c>
      <c r="E340" s="175">
        <v>19.2</v>
      </c>
      <c r="F340" s="176" t="s">
        <v>641</v>
      </c>
      <c r="G340" s="24"/>
      <c r="H340" s="162"/>
      <c r="I340" s="163"/>
      <c r="J340" s="177" t="s">
        <v>554</v>
      </c>
      <c r="K340" s="162"/>
      <c r="L340" s="1" t="s">
        <v>623</v>
      </c>
    </row>
    <row r="341" s="1" customFormat="1" ht="18" customHeight="1" spans="1:12">
      <c r="A341" s="174">
        <v>46232</v>
      </c>
      <c r="B341" s="174" t="s">
        <v>28</v>
      </c>
      <c r="C341" s="174" t="s">
        <v>41</v>
      </c>
      <c r="D341" s="174" t="s">
        <v>51</v>
      </c>
      <c r="E341" s="175">
        <v>19.2</v>
      </c>
      <c r="F341" s="176" t="s">
        <v>641</v>
      </c>
      <c r="G341" s="24"/>
      <c r="H341" s="162"/>
      <c r="I341" s="163"/>
      <c r="J341" s="177" t="s">
        <v>644</v>
      </c>
      <c r="K341" s="162"/>
      <c r="L341" s="1" t="s">
        <v>623</v>
      </c>
    </row>
    <row r="342" s="1" customFormat="1" ht="18" customHeight="1" spans="1:12">
      <c r="A342" s="174">
        <v>46232</v>
      </c>
      <c r="B342" s="174" t="s">
        <v>28</v>
      </c>
      <c r="C342" s="174" t="s">
        <v>41</v>
      </c>
      <c r="D342" s="174" t="s">
        <v>51</v>
      </c>
      <c r="E342" s="175">
        <v>19.2</v>
      </c>
      <c r="F342" s="176" t="s">
        <v>641</v>
      </c>
      <c r="G342" s="24"/>
      <c r="H342" s="162"/>
      <c r="I342" s="163"/>
      <c r="J342" s="177" t="s">
        <v>645</v>
      </c>
      <c r="K342" s="162"/>
      <c r="L342" s="1" t="s">
        <v>623</v>
      </c>
    </row>
    <row r="343" s="1" customFormat="1" ht="18" customHeight="1" spans="1:12">
      <c r="A343" s="174">
        <v>46232</v>
      </c>
      <c r="B343" s="174" t="s">
        <v>28</v>
      </c>
      <c r="C343" s="174" t="s">
        <v>41</v>
      </c>
      <c r="D343" s="174" t="s">
        <v>51</v>
      </c>
      <c r="E343" s="175">
        <v>19.2</v>
      </c>
      <c r="F343" s="176" t="s">
        <v>641</v>
      </c>
      <c r="G343" s="24"/>
      <c r="H343" s="162"/>
      <c r="I343" s="163"/>
      <c r="J343" s="177" t="s">
        <v>646</v>
      </c>
      <c r="K343" s="162"/>
      <c r="L343" s="1" t="s">
        <v>623</v>
      </c>
    </row>
    <row r="344" s="1" customFormat="1" ht="18" customHeight="1" spans="1:12">
      <c r="A344" s="174">
        <v>46232</v>
      </c>
      <c r="B344" s="174" t="s">
        <v>28</v>
      </c>
      <c r="C344" s="174" t="s">
        <v>41</v>
      </c>
      <c r="D344" s="174" t="s">
        <v>92</v>
      </c>
      <c r="E344" s="62">
        <v>20.5</v>
      </c>
      <c r="F344" s="176" t="s">
        <v>240</v>
      </c>
      <c r="G344" s="24"/>
      <c r="H344" s="162"/>
      <c r="I344" s="163"/>
      <c r="J344" s="179" t="s">
        <v>647</v>
      </c>
      <c r="K344" s="162"/>
      <c r="L344" s="1" t="s">
        <v>623</v>
      </c>
    </row>
    <row r="345" s="1" customFormat="1" ht="18" customHeight="1" spans="1:12">
      <c r="A345" s="174">
        <v>46232</v>
      </c>
      <c r="B345" s="174" t="s">
        <v>28</v>
      </c>
      <c r="C345" s="174" t="s">
        <v>41</v>
      </c>
      <c r="D345" s="174" t="s">
        <v>92</v>
      </c>
      <c r="E345" s="62">
        <v>20.5</v>
      </c>
      <c r="F345" s="176" t="s">
        <v>240</v>
      </c>
      <c r="G345" s="24"/>
      <c r="H345" s="162"/>
      <c r="I345" s="163"/>
      <c r="J345" s="179" t="s">
        <v>648</v>
      </c>
      <c r="K345" s="162"/>
      <c r="L345" s="1" t="s">
        <v>623</v>
      </c>
    </row>
    <row r="346" s="1" customFormat="1" ht="18" customHeight="1" spans="1:12">
      <c r="A346" s="174">
        <v>46232</v>
      </c>
      <c r="B346" s="174" t="s">
        <v>28</v>
      </c>
      <c r="C346" s="174" t="s">
        <v>41</v>
      </c>
      <c r="D346" s="174" t="s">
        <v>92</v>
      </c>
      <c r="E346" s="62">
        <v>20.5</v>
      </c>
      <c r="F346" s="176" t="s">
        <v>240</v>
      </c>
      <c r="G346" s="24"/>
      <c r="H346" s="162"/>
      <c r="I346" s="163"/>
      <c r="J346" s="179" t="s">
        <v>649</v>
      </c>
      <c r="K346" s="162"/>
      <c r="L346" s="1" t="s">
        <v>623</v>
      </c>
    </row>
    <row r="347" s="1" customFormat="1" ht="18" customHeight="1" spans="1:12">
      <c r="A347" s="174">
        <v>46233</v>
      </c>
      <c r="B347" s="174" t="s">
        <v>28</v>
      </c>
      <c r="C347" s="174" t="s">
        <v>41</v>
      </c>
      <c r="D347" s="174" t="s">
        <v>51</v>
      </c>
      <c r="E347" s="175">
        <v>19.2</v>
      </c>
      <c r="F347" s="176" t="s">
        <v>641</v>
      </c>
      <c r="G347" s="24"/>
      <c r="H347" s="162"/>
      <c r="I347" s="163" t="s">
        <v>650</v>
      </c>
      <c r="J347" s="177" t="s">
        <v>651</v>
      </c>
      <c r="K347" s="162"/>
      <c r="L347" s="1" t="s">
        <v>623</v>
      </c>
    </row>
    <row r="348" s="1" customFormat="1" ht="18" customHeight="1" spans="1:12">
      <c r="A348" s="174">
        <v>46233</v>
      </c>
      <c r="B348" s="174" t="s">
        <v>28</v>
      </c>
      <c r="C348" s="174" t="s">
        <v>41</v>
      </c>
      <c r="D348" s="174" t="s">
        <v>51</v>
      </c>
      <c r="E348" s="175">
        <v>19.2</v>
      </c>
      <c r="F348" s="176" t="s">
        <v>641</v>
      </c>
      <c r="G348" s="24"/>
      <c r="H348" s="162"/>
      <c r="I348" s="163" t="s">
        <v>652</v>
      </c>
      <c r="J348" s="177" t="s">
        <v>653</v>
      </c>
      <c r="K348" s="162"/>
      <c r="L348" s="1" t="s">
        <v>623</v>
      </c>
    </row>
    <row r="349" s="1" customFormat="1" ht="18" customHeight="1" spans="1:12">
      <c r="A349" s="174">
        <v>46233</v>
      </c>
      <c r="B349" s="174" t="s">
        <v>28</v>
      </c>
      <c r="C349" s="174" t="s">
        <v>41</v>
      </c>
      <c r="D349" s="174" t="s">
        <v>51</v>
      </c>
      <c r="E349" s="175">
        <v>19.2</v>
      </c>
      <c r="F349" s="176" t="s">
        <v>641</v>
      </c>
      <c r="G349" s="24"/>
      <c r="H349" s="162"/>
      <c r="I349" s="163" t="s">
        <v>654</v>
      </c>
      <c r="J349" s="177" t="s">
        <v>655</v>
      </c>
      <c r="K349" s="162"/>
      <c r="L349" s="1" t="s">
        <v>623</v>
      </c>
    </row>
    <row r="350" s="1" customFormat="1" ht="18" customHeight="1" spans="1:12">
      <c r="A350" s="174">
        <v>46233</v>
      </c>
      <c r="B350" s="174" t="s">
        <v>28</v>
      </c>
      <c r="C350" s="174" t="s">
        <v>41</v>
      </c>
      <c r="D350" s="174" t="s">
        <v>51</v>
      </c>
      <c r="E350" s="175">
        <v>19.2</v>
      </c>
      <c r="F350" s="176" t="s">
        <v>641</v>
      </c>
      <c r="G350" s="24"/>
      <c r="H350" s="162"/>
      <c r="I350" s="163"/>
      <c r="J350" s="177" t="s">
        <v>656</v>
      </c>
      <c r="K350" s="162"/>
      <c r="L350" s="1" t="s">
        <v>623</v>
      </c>
    </row>
    <row r="351" s="1" customFormat="1" ht="18" customHeight="1" spans="1:12">
      <c r="A351" s="174">
        <v>46233</v>
      </c>
      <c r="B351" s="174" t="s">
        <v>28</v>
      </c>
      <c r="C351" s="174" t="s">
        <v>41</v>
      </c>
      <c r="D351" s="174" t="s">
        <v>51</v>
      </c>
      <c r="E351" s="175">
        <v>19.2</v>
      </c>
      <c r="F351" s="176" t="s">
        <v>641</v>
      </c>
      <c r="G351" s="24"/>
      <c r="H351" s="162"/>
      <c r="I351" s="163" t="s">
        <v>657</v>
      </c>
      <c r="J351" s="177" t="s">
        <v>658</v>
      </c>
      <c r="K351" s="162"/>
      <c r="L351" s="1" t="s">
        <v>623</v>
      </c>
    </row>
    <row r="352" s="1" customFormat="1" ht="18" customHeight="1" spans="1:12">
      <c r="A352" s="174">
        <v>46233</v>
      </c>
      <c r="B352" s="174" t="s">
        <v>28</v>
      </c>
      <c r="C352" s="174" t="s">
        <v>41</v>
      </c>
      <c r="D352" s="174" t="s">
        <v>51</v>
      </c>
      <c r="E352" s="175">
        <v>19.2</v>
      </c>
      <c r="F352" s="176" t="s">
        <v>641</v>
      </c>
      <c r="G352" s="24"/>
      <c r="H352" s="162"/>
      <c r="I352" s="163" t="s">
        <v>659</v>
      </c>
      <c r="J352" s="177" t="s">
        <v>660</v>
      </c>
      <c r="K352" s="162"/>
      <c r="L352" s="1" t="s">
        <v>623</v>
      </c>
    </row>
    <row r="353" s="1" customFormat="1" ht="18" customHeight="1" spans="1:12">
      <c r="A353" s="174">
        <v>46233</v>
      </c>
      <c r="B353" s="174" t="s">
        <v>28</v>
      </c>
      <c r="C353" s="174" t="s">
        <v>41</v>
      </c>
      <c r="D353" s="174" t="s">
        <v>51</v>
      </c>
      <c r="E353" s="175">
        <v>19.2</v>
      </c>
      <c r="F353" s="176" t="s">
        <v>641</v>
      </c>
      <c r="G353" s="24"/>
      <c r="H353" s="162"/>
      <c r="I353" s="163" t="s">
        <v>661</v>
      </c>
      <c r="J353" s="177" t="s">
        <v>655</v>
      </c>
      <c r="K353" s="162"/>
      <c r="L353" s="1" t="s">
        <v>623</v>
      </c>
    </row>
    <row r="354" s="1" customFormat="1" ht="18" customHeight="1" spans="1:12">
      <c r="A354" s="174">
        <v>46233</v>
      </c>
      <c r="B354" s="174" t="s">
        <v>28</v>
      </c>
      <c r="C354" s="174" t="s">
        <v>41</v>
      </c>
      <c r="D354" s="174" t="s">
        <v>51</v>
      </c>
      <c r="E354" s="175">
        <v>19.2</v>
      </c>
      <c r="F354" s="176" t="s">
        <v>641</v>
      </c>
      <c r="G354" s="24"/>
      <c r="H354" s="162"/>
      <c r="I354" s="163" t="s">
        <v>662</v>
      </c>
      <c r="J354" s="177" t="s">
        <v>656</v>
      </c>
      <c r="K354" s="162"/>
      <c r="L354" s="1" t="s">
        <v>623</v>
      </c>
    </row>
    <row r="355" s="1" customFormat="1" ht="18" customHeight="1" spans="1:12">
      <c r="A355" s="174">
        <v>46233</v>
      </c>
      <c r="B355" s="174" t="s">
        <v>28</v>
      </c>
      <c r="C355" s="174" t="s">
        <v>41</v>
      </c>
      <c r="D355" s="174" t="s">
        <v>92</v>
      </c>
      <c r="E355" s="175">
        <v>20.5</v>
      </c>
      <c r="F355" s="176" t="s">
        <v>240</v>
      </c>
      <c r="G355" s="24"/>
      <c r="H355" s="162"/>
      <c r="I355" s="163"/>
      <c r="J355" s="177" t="s">
        <v>648</v>
      </c>
      <c r="K355" s="162"/>
      <c r="L355" s="1" t="s">
        <v>623</v>
      </c>
    </row>
    <row r="356" s="1" customFormat="1" ht="18" customHeight="1" spans="1:12">
      <c r="A356" s="174">
        <v>46233</v>
      </c>
      <c r="B356" s="174" t="s">
        <v>28</v>
      </c>
      <c r="C356" s="174" t="s">
        <v>41</v>
      </c>
      <c r="D356" s="174" t="s">
        <v>92</v>
      </c>
      <c r="E356" s="175">
        <v>20.5</v>
      </c>
      <c r="F356" s="176" t="s">
        <v>240</v>
      </c>
      <c r="G356" s="24"/>
      <c r="H356" s="162"/>
      <c r="I356" s="163"/>
      <c r="J356" s="177" t="s">
        <v>649</v>
      </c>
      <c r="K356" s="162"/>
      <c r="L356" s="1" t="s">
        <v>623</v>
      </c>
    </row>
    <row r="357" s="1" customFormat="1" ht="18" customHeight="1" spans="1:12">
      <c r="A357" s="174">
        <v>46233</v>
      </c>
      <c r="B357" s="174" t="s">
        <v>28</v>
      </c>
      <c r="C357" s="174" t="s">
        <v>41</v>
      </c>
      <c r="D357" s="174" t="s">
        <v>92</v>
      </c>
      <c r="E357" s="175">
        <v>20.5</v>
      </c>
      <c r="F357" s="176" t="s">
        <v>240</v>
      </c>
      <c r="G357" s="24"/>
      <c r="H357" s="162"/>
      <c r="I357" s="163"/>
      <c r="J357" s="177" t="s">
        <v>663</v>
      </c>
      <c r="K357" s="162"/>
      <c r="L357" s="1" t="s">
        <v>623</v>
      </c>
    </row>
    <row r="358" s="1" customFormat="1" ht="18" customHeight="1" spans="1:12">
      <c r="A358" s="174">
        <v>46233</v>
      </c>
      <c r="B358" s="174" t="s">
        <v>96</v>
      </c>
      <c r="C358" s="174" t="s">
        <v>64</v>
      </c>
      <c r="D358" s="174" t="s">
        <v>97</v>
      </c>
      <c r="E358" s="175">
        <v>25</v>
      </c>
      <c r="F358" s="176"/>
      <c r="G358" s="24"/>
      <c r="H358" s="162"/>
      <c r="I358" s="163"/>
      <c r="J358" s="177" t="s">
        <v>664</v>
      </c>
      <c r="K358" s="162"/>
      <c r="L358" s="1" t="s">
        <v>623</v>
      </c>
    </row>
    <row r="359" s="1" customFormat="1" ht="18" customHeight="1" spans="1:11">
      <c r="A359" s="174">
        <v>46233</v>
      </c>
      <c r="B359" s="174" t="s">
        <v>665</v>
      </c>
      <c r="C359" s="174" t="s">
        <v>35</v>
      </c>
      <c r="D359" s="174" t="s">
        <v>242</v>
      </c>
      <c r="E359" s="175">
        <v>18.75</v>
      </c>
      <c r="F359" s="176" t="s">
        <v>249</v>
      </c>
      <c r="G359" s="24"/>
      <c r="H359" s="162"/>
      <c r="I359" s="163"/>
      <c r="J359" s="177" t="s">
        <v>666</v>
      </c>
      <c r="K359" s="162"/>
    </row>
    <row r="360" s="1" customFormat="1" ht="18" customHeight="1" spans="1:11">
      <c r="A360" s="174">
        <v>46233</v>
      </c>
      <c r="B360" s="174" t="s">
        <v>665</v>
      </c>
      <c r="C360" s="174" t="s">
        <v>35</v>
      </c>
      <c r="D360" s="174" t="s">
        <v>242</v>
      </c>
      <c r="E360" s="175">
        <v>18.75</v>
      </c>
      <c r="F360" s="176" t="s">
        <v>249</v>
      </c>
      <c r="G360" s="24"/>
      <c r="H360" s="162"/>
      <c r="I360" s="163"/>
      <c r="J360" s="177" t="s">
        <v>667</v>
      </c>
      <c r="K360" s="162"/>
    </row>
    <row r="361" s="1" customFormat="1" ht="18" customHeight="1" spans="1:12">
      <c r="A361" s="174">
        <v>46234</v>
      </c>
      <c r="B361" s="174" t="s">
        <v>28</v>
      </c>
      <c r="C361" s="174" t="s">
        <v>41</v>
      </c>
      <c r="D361" s="174" t="s">
        <v>92</v>
      </c>
      <c r="E361" s="175">
        <v>20.5</v>
      </c>
      <c r="F361" s="176" t="s">
        <v>240</v>
      </c>
      <c r="G361" s="24"/>
      <c r="H361" s="162"/>
      <c r="I361" s="163"/>
      <c r="J361" s="177" t="s">
        <v>648</v>
      </c>
      <c r="K361" s="162"/>
      <c r="L361" s="1" t="s">
        <v>623</v>
      </c>
    </row>
    <row r="362" s="1" customFormat="1" ht="18" customHeight="1" spans="1:12">
      <c r="A362" s="174">
        <v>46234</v>
      </c>
      <c r="B362" s="174" t="s">
        <v>28</v>
      </c>
      <c r="C362" s="174" t="s">
        <v>41</v>
      </c>
      <c r="D362" s="174" t="s">
        <v>92</v>
      </c>
      <c r="E362" s="175">
        <v>20.5</v>
      </c>
      <c r="F362" s="176" t="s">
        <v>240</v>
      </c>
      <c r="G362" s="24"/>
      <c r="H362" s="162"/>
      <c r="I362" s="163"/>
      <c r="J362" s="177" t="s">
        <v>668</v>
      </c>
      <c r="K362" s="162"/>
      <c r="L362" s="1" t="s">
        <v>623</v>
      </c>
    </row>
    <row r="363" s="1" customFormat="1" ht="18" customHeight="1" spans="1:12">
      <c r="A363" s="174">
        <v>46234</v>
      </c>
      <c r="B363" s="174" t="s">
        <v>28</v>
      </c>
      <c r="C363" s="174" t="s">
        <v>41</v>
      </c>
      <c r="D363" s="174" t="s">
        <v>92</v>
      </c>
      <c r="E363" s="175">
        <v>20.5</v>
      </c>
      <c r="F363" s="176" t="s">
        <v>240</v>
      </c>
      <c r="G363" s="24"/>
      <c r="H363" s="162"/>
      <c r="I363" s="163"/>
      <c r="J363" s="177" t="s">
        <v>669</v>
      </c>
      <c r="K363" s="162"/>
      <c r="L363" s="1" t="s">
        <v>623</v>
      </c>
    </row>
    <row r="364" s="1" customFormat="1" ht="18" customHeight="1" spans="1:12">
      <c r="A364" s="174">
        <v>46234</v>
      </c>
      <c r="B364" s="174" t="s">
        <v>28</v>
      </c>
      <c r="C364" s="174" t="s">
        <v>41</v>
      </c>
      <c r="D364" s="174" t="s">
        <v>51</v>
      </c>
      <c r="E364" s="175">
        <v>19.2</v>
      </c>
      <c r="F364" s="176" t="s">
        <v>641</v>
      </c>
      <c r="G364" s="24"/>
      <c r="H364" s="162"/>
      <c r="I364" s="163"/>
      <c r="J364" s="177" t="s">
        <v>670</v>
      </c>
      <c r="K364" s="162"/>
      <c r="L364" s="1" t="s">
        <v>623</v>
      </c>
    </row>
    <row r="365" s="1" customFormat="1" ht="18" customHeight="1" spans="1:12">
      <c r="A365" s="174">
        <v>46234</v>
      </c>
      <c r="B365" s="174" t="s">
        <v>28</v>
      </c>
      <c r="C365" s="174" t="s">
        <v>41</v>
      </c>
      <c r="D365" s="174" t="s">
        <v>51</v>
      </c>
      <c r="E365" s="175">
        <v>19.2</v>
      </c>
      <c r="F365" s="176" t="s">
        <v>641</v>
      </c>
      <c r="G365" s="24"/>
      <c r="H365" s="162"/>
      <c r="I365" s="163" t="s">
        <v>671</v>
      </c>
      <c r="J365" s="177" t="s">
        <v>672</v>
      </c>
      <c r="K365" s="162"/>
      <c r="L365" s="1" t="s">
        <v>623</v>
      </c>
    </row>
    <row r="366" s="1" customFormat="1" ht="18" customHeight="1" spans="1:12">
      <c r="A366" s="174">
        <v>46234</v>
      </c>
      <c r="B366" s="174" t="s">
        <v>28</v>
      </c>
      <c r="C366" s="174" t="s">
        <v>41</v>
      </c>
      <c r="D366" s="174" t="s">
        <v>51</v>
      </c>
      <c r="E366" s="175">
        <v>19.2</v>
      </c>
      <c r="F366" s="176" t="s">
        <v>641</v>
      </c>
      <c r="G366" s="24"/>
      <c r="H366" s="162"/>
      <c r="I366" s="163" t="s">
        <v>673</v>
      </c>
      <c r="J366" s="177" t="s">
        <v>674</v>
      </c>
      <c r="K366" s="162"/>
      <c r="L366" s="1" t="s">
        <v>623</v>
      </c>
    </row>
    <row r="367" s="1" customFormat="1" ht="18" customHeight="1" spans="1:12">
      <c r="A367" s="174">
        <v>46234</v>
      </c>
      <c r="B367" s="174" t="s">
        <v>28</v>
      </c>
      <c r="C367" s="174" t="s">
        <v>41</v>
      </c>
      <c r="D367" s="174" t="s">
        <v>51</v>
      </c>
      <c r="E367" s="175">
        <v>19.2</v>
      </c>
      <c r="F367" s="176" t="s">
        <v>641</v>
      </c>
      <c r="G367" s="24"/>
      <c r="H367" s="162"/>
      <c r="I367" s="163" t="s">
        <v>675</v>
      </c>
      <c r="J367" s="177" t="s">
        <v>676</v>
      </c>
      <c r="K367" s="162"/>
      <c r="L367" s="1" t="s">
        <v>623</v>
      </c>
    </row>
    <row r="368" s="1" customFormat="1" ht="18" customHeight="1" spans="1:12">
      <c r="A368" s="174">
        <v>46234</v>
      </c>
      <c r="B368" s="174" t="s">
        <v>28</v>
      </c>
      <c r="C368" s="174" t="s">
        <v>41</v>
      </c>
      <c r="D368" s="174" t="s">
        <v>51</v>
      </c>
      <c r="E368" s="175">
        <v>19.2</v>
      </c>
      <c r="F368" s="176" t="s">
        <v>641</v>
      </c>
      <c r="G368" s="24"/>
      <c r="H368" s="162"/>
      <c r="I368" s="163" t="s">
        <v>677</v>
      </c>
      <c r="J368" s="177" t="s">
        <v>678</v>
      </c>
      <c r="K368" s="162"/>
      <c r="L368" s="1" t="s">
        <v>623</v>
      </c>
    </row>
    <row r="369" s="1" customFormat="1" ht="18" customHeight="1" spans="1:12">
      <c r="A369" s="174">
        <v>46234</v>
      </c>
      <c r="B369" s="174" t="s">
        <v>28</v>
      </c>
      <c r="C369" s="174" t="s">
        <v>41</v>
      </c>
      <c r="D369" s="174" t="s">
        <v>51</v>
      </c>
      <c r="E369" s="175">
        <v>19.2</v>
      </c>
      <c r="F369" s="176" t="s">
        <v>641</v>
      </c>
      <c r="G369" s="24"/>
      <c r="H369" s="162"/>
      <c r="I369" s="163" t="s">
        <v>679</v>
      </c>
      <c r="J369" s="177" t="s">
        <v>642</v>
      </c>
      <c r="K369" s="162"/>
      <c r="L369" s="1" t="s">
        <v>623</v>
      </c>
    </row>
    <row r="370" s="1" customFormat="1" ht="18" customHeight="1" spans="1:12">
      <c r="A370" s="174">
        <v>46234</v>
      </c>
      <c r="B370" s="174" t="s">
        <v>28</v>
      </c>
      <c r="C370" s="174" t="s">
        <v>41</v>
      </c>
      <c r="D370" s="174" t="s">
        <v>51</v>
      </c>
      <c r="E370" s="175">
        <v>19.2</v>
      </c>
      <c r="F370" s="176" t="s">
        <v>641</v>
      </c>
      <c r="G370" s="24"/>
      <c r="H370" s="162"/>
      <c r="I370" s="163" t="s">
        <v>680</v>
      </c>
      <c r="J370" s="177" t="s">
        <v>554</v>
      </c>
      <c r="K370" s="162"/>
      <c r="L370" s="1" t="s">
        <v>623</v>
      </c>
    </row>
    <row r="371" s="1" customFormat="1" ht="18" customHeight="1" spans="1:12">
      <c r="A371" s="174">
        <v>46234</v>
      </c>
      <c r="B371" s="174" t="s">
        <v>28</v>
      </c>
      <c r="C371" s="174" t="s">
        <v>41</v>
      </c>
      <c r="D371" s="174" t="s">
        <v>51</v>
      </c>
      <c r="E371" s="175">
        <v>19.2</v>
      </c>
      <c r="F371" s="176" t="s">
        <v>641</v>
      </c>
      <c r="G371" s="24"/>
      <c r="H371" s="162"/>
      <c r="I371" s="163" t="s">
        <v>681</v>
      </c>
      <c r="J371" s="177" t="s">
        <v>644</v>
      </c>
      <c r="K371" s="162"/>
      <c r="L371" s="1" t="s">
        <v>623</v>
      </c>
    </row>
    <row r="372" s="1" customFormat="1" ht="18" customHeight="1" spans="1:12">
      <c r="A372" s="174">
        <v>46235</v>
      </c>
      <c r="B372" s="174" t="s">
        <v>28</v>
      </c>
      <c r="C372" s="174" t="s">
        <v>41</v>
      </c>
      <c r="D372" s="174" t="s">
        <v>92</v>
      </c>
      <c r="E372" s="175">
        <v>20.48</v>
      </c>
      <c r="F372" s="176" t="s">
        <v>641</v>
      </c>
      <c r="G372" s="24"/>
      <c r="H372" s="162"/>
      <c r="I372" s="163"/>
      <c r="J372" s="177" t="s">
        <v>682</v>
      </c>
      <c r="K372" s="162"/>
      <c r="L372" s="1" t="s">
        <v>623</v>
      </c>
    </row>
    <row r="373" s="1" customFormat="1" ht="18" customHeight="1" spans="1:12">
      <c r="A373" s="174">
        <v>46235</v>
      </c>
      <c r="B373" s="174" t="s">
        <v>28</v>
      </c>
      <c r="C373" s="174" t="s">
        <v>41</v>
      </c>
      <c r="D373" s="174" t="s">
        <v>92</v>
      </c>
      <c r="E373" s="175">
        <v>20.52</v>
      </c>
      <c r="F373" s="176" t="s">
        <v>641</v>
      </c>
      <c r="G373" s="24"/>
      <c r="H373" s="162"/>
      <c r="I373" s="163"/>
      <c r="J373" s="177" t="s">
        <v>683</v>
      </c>
      <c r="K373" s="162"/>
      <c r="L373" s="1" t="s">
        <v>623</v>
      </c>
    </row>
    <row r="374" s="1" customFormat="1" ht="18" customHeight="1" spans="1:12">
      <c r="A374" s="174">
        <v>46235</v>
      </c>
      <c r="B374" s="174" t="s">
        <v>28</v>
      </c>
      <c r="C374" s="174" t="s">
        <v>41</v>
      </c>
      <c r="D374" s="174" t="s">
        <v>92</v>
      </c>
      <c r="E374" s="175">
        <v>20.5</v>
      </c>
      <c r="F374" s="176" t="s">
        <v>641</v>
      </c>
      <c r="G374" s="24"/>
      <c r="H374" s="162"/>
      <c r="I374" s="163"/>
      <c r="J374" s="177" t="s">
        <v>684</v>
      </c>
      <c r="K374" s="162"/>
      <c r="L374" s="1" t="s">
        <v>623</v>
      </c>
    </row>
    <row r="375" s="1" customFormat="1" ht="18" customHeight="1" spans="1:12">
      <c r="A375" s="174">
        <v>46235</v>
      </c>
      <c r="B375" s="174" t="s">
        <v>28</v>
      </c>
      <c r="C375" s="174" t="s">
        <v>41</v>
      </c>
      <c r="D375" s="174" t="s">
        <v>92</v>
      </c>
      <c r="E375" s="175">
        <v>20.5</v>
      </c>
      <c r="F375" s="176" t="s">
        <v>641</v>
      </c>
      <c r="G375" s="24"/>
      <c r="H375" s="162"/>
      <c r="I375" s="163"/>
      <c r="J375" s="177" t="s">
        <v>685</v>
      </c>
      <c r="K375" s="162"/>
      <c r="L375" s="1" t="s">
        <v>623</v>
      </c>
    </row>
    <row r="376" s="1" customFormat="1" ht="18" customHeight="1" spans="1:12">
      <c r="A376" s="174">
        <v>46236</v>
      </c>
      <c r="B376" s="174" t="s">
        <v>28</v>
      </c>
      <c r="C376" s="174" t="s">
        <v>41</v>
      </c>
      <c r="D376" s="174" t="s">
        <v>92</v>
      </c>
      <c r="E376" s="175">
        <v>20.5</v>
      </c>
      <c r="F376" s="176" t="s">
        <v>641</v>
      </c>
      <c r="G376" s="24"/>
      <c r="H376" s="162"/>
      <c r="I376" s="163"/>
      <c r="J376" s="177" t="s">
        <v>686</v>
      </c>
      <c r="K376" s="162"/>
      <c r="L376" s="1" t="s">
        <v>623</v>
      </c>
    </row>
    <row r="377" s="1" customFormat="1" ht="18" customHeight="1" spans="1:12">
      <c r="A377" s="174">
        <v>46236</v>
      </c>
      <c r="B377" s="174" t="s">
        <v>28</v>
      </c>
      <c r="C377" s="174" t="s">
        <v>41</v>
      </c>
      <c r="D377" s="174" t="s">
        <v>92</v>
      </c>
      <c r="E377" s="175">
        <v>20.5</v>
      </c>
      <c r="F377" s="176" t="s">
        <v>641</v>
      </c>
      <c r="G377" s="24"/>
      <c r="H377" s="162"/>
      <c r="I377" s="163"/>
      <c r="J377" s="177" t="s">
        <v>687</v>
      </c>
      <c r="K377" s="162"/>
      <c r="L377" s="1" t="s">
        <v>623</v>
      </c>
    </row>
    <row r="378" s="1" customFormat="1" ht="18" customHeight="1" spans="1:12">
      <c r="A378" s="174">
        <v>46236</v>
      </c>
      <c r="B378" s="174" t="s">
        <v>28</v>
      </c>
      <c r="C378" s="174" t="s">
        <v>41</v>
      </c>
      <c r="D378" s="174" t="s">
        <v>92</v>
      </c>
      <c r="E378" s="175">
        <v>20.5</v>
      </c>
      <c r="F378" s="176" t="s">
        <v>641</v>
      </c>
      <c r="G378" s="24"/>
      <c r="H378" s="162"/>
      <c r="I378" s="163"/>
      <c r="J378" s="177" t="s">
        <v>688</v>
      </c>
      <c r="K378" s="162"/>
      <c r="L378" s="1" t="s">
        <v>623</v>
      </c>
    </row>
    <row r="379" s="1" customFormat="1" ht="18" customHeight="1" spans="1:12">
      <c r="A379" s="174">
        <v>46236</v>
      </c>
      <c r="B379" s="174" t="s">
        <v>28</v>
      </c>
      <c r="C379" s="174" t="s">
        <v>41</v>
      </c>
      <c r="D379" s="174" t="s">
        <v>92</v>
      </c>
      <c r="E379" s="175">
        <v>20.12</v>
      </c>
      <c r="F379" s="176" t="s">
        <v>641</v>
      </c>
      <c r="G379" s="24"/>
      <c r="H379" s="162"/>
      <c r="I379" s="180"/>
      <c r="J379" s="181" t="s">
        <v>689</v>
      </c>
      <c r="K379" s="182"/>
      <c r="L379" s="1" t="s">
        <v>623</v>
      </c>
    </row>
    <row r="380" s="1" customFormat="1" ht="18" customHeight="1" spans="1:12">
      <c r="A380" s="174">
        <v>46236</v>
      </c>
      <c r="B380" s="174" t="s">
        <v>28</v>
      </c>
      <c r="C380" s="174" t="s">
        <v>41</v>
      </c>
      <c r="D380" s="174" t="s">
        <v>103</v>
      </c>
      <c r="E380" s="175">
        <v>0.38</v>
      </c>
      <c r="F380" s="176" t="s">
        <v>104</v>
      </c>
      <c r="G380" s="24"/>
      <c r="H380" s="162"/>
      <c r="I380" s="180"/>
      <c r="J380" s="181"/>
      <c r="K380" s="182"/>
      <c r="L380" s="1" t="s">
        <v>623</v>
      </c>
    </row>
    <row r="381" s="1" customFormat="1" ht="18" customHeight="1" spans="1:12">
      <c r="A381" s="174">
        <v>46241</v>
      </c>
      <c r="B381" s="174" t="s">
        <v>66</v>
      </c>
      <c r="C381" s="174" t="s">
        <v>41</v>
      </c>
      <c r="D381" s="174" t="s">
        <v>105</v>
      </c>
      <c r="E381" s="175">
        <v>17</v>
      </c>
      <c r="F381" s="176"/>
      <c r="G381" s="24"/>
      <c r="H381" s="162"/>
      <c r="I381" s="180"/>
      <c r="J381" s="181" t="s">
        <v>429</v>
      </c>
      <c r="K381" s="182"/>
      <c r="L381" s="1" t="s">
        <v>623</v>
      </c>
    </row>
    <row r="382" s="1" customFormat="1" ht="18" customHeight="1" spans="1:12">
      <c r="A382" s="174">
        <v>46241</v>
      </c>
      <c r="B382" s="174" t="s">
        <v>66</v>
      </c>
      <c r="C382" s="174" t="s">
        <v>35</v>
      </c>
      <c r="D382" s="174" t="s">
        <v>105</v>
      </c>
      <c r="E382" s="175">
        <v>3</v>
      </c>
      <c r="F382" s="176"/>
      <c r="G382" s="24"/>
      <c r="H382" s="162"/>
      <c r="I382" s="180"/>
      <c r="J382" s="181"/>
      <c r="K382" s="182"/>
      <c r="L382" s="1" t="s">
        <v>623</v>
      </c>
    </row>
    <row r="383" s="1" customFormat="1" ht="18" customHeight="1" spans="1:12">
      <c r="A383" s="174">
        <v>46245</v>
      </c>
      <c r="B383" s="174" t="s">
        <v>43</v>
      </c>
      <c r="C383" s="174" t="s">
        <v>47</v>
      </c>
      <c r="D383" s="174" t="s">
        <v>106</v>
      </c>
      <c r="E383" s="175">
        <v>4.5</v>
      </c>
      <c r="F383" s="176"/>
      <c r="G383" s="24"/>
      <c r="H383" s="162"/>
      <c r="I383" s="180"/>
      <c r="J383" s="181" t="s">
        <v>690</v>
      </c>
      <c r="K383" s="182"/>
      <c r="L383" s="1" t="s">
        <v>623</v>
      </c>
    </row>
    <row r="384" s="1" customFormat="1" ht="18" customHeight="1" spans="1:12">
      <c r="A384" s="174">
        <v>46246</v>
      </c>
      <c r="B384" s="174" t="s">
        <v>43</v>
      </c>
      <c r="C384" s="174" t="s">
        <v>45</v>
      </c>
      <c r="D384" s="174" t="s">
        <v>106</v>
      </c>
      <c r="E384" s="175">
        <v>6</v>
      </c>
      <c r="F384" s="176"/>
      <c r="G384" s="24"/>
      <c r="H384" s="162"/>
      <c r="I384" s="180"/>
      <c r="J384" s="181" t="s">
        <v>691</v>
      </c>
      <c r="K384" s="182"/>
      <c r="L384" s="1" t="s">
        <v>623</v>
      </c>
    </row>
    <row r="385" s="1" customFormat="1" ht="18" customHeight="1" spans="1:11">
      <c r="A385" s="174">
        <v>46247</v>
      </c>
      <c r="B385" s="174" t="s">
        <v>194</v>
      </c>
      <c r="C385" s="174" t="s">
        <v>251</v>
      </c>
      <c r="D385" s="174" t="s">
        <v>250</v>
      </c>
      <c r="E385" s="175">
        <v>18.3</v>
      </c>
      <c r="F385" s="176"/>
      <c r="G385" s="24"/>
      <c r="H385" s="162"/>
      <c r="I385" s="180"/>
      <c r="J385" s="181" t="s">
        <v>692</v>
      </c>
      <c r="K385" s="182"/>
    </row>
    <row r="386" s="1" customFormat="1" ht="18" customHeight="1" spans="1:11">
      <c r="A386" s="174">
        <v>46247</v>
      </c>
      <c r="B386" s="174" t="s">
        <v>194</v>
      </c>
      <c r="C386" s="174" t="s">
        <v>251</v>
      </c>
      <c r="D386" s="174" t="s">
        <v>250</v>
      </c>
      <c r="E386" s="175">
        <v>18.3</v>
      </c>
      <c r="F386" s="176"/>
      <c r="G386" s="24"/>
      <c r="H386" s="162"/>
      <c r="I386" s="180"/>
      <c r="J386" s="181" t="s">
        <v>693</v>
      </c>
      <c r="K386" s="182"/>
    </row>
    <row r="387" s="1" customFormat="1" ht="18" customHeight="1" spans="1:12">
      <c r="A387" s="174">
        <v>46251</v>
      </c>
      <c r="B387" s="174" t="s">
        <v>101</v>
      </c>
      <c r="C387" s="174" t="s">
        <v>64</v>
      </c>
      <c r="D387" s="174" t="s">
        <v>102</v>
      </c>
      <c r="E387" s="175">
        <v>27</v>
      </c>
      <c r="F387" s="176"/>
      <c r="G387" s="24"/>
      <c r="H387" s="162"/>
      <c r="I387" s="180"/>
      <c r="J387" s="181" t="s">
        <v>694</v>
      </c>
      <c r="K387" s="182"/>
      <c r="L387" s="1" t="s">
        <v>623</v>
      </c>
    </row>
    <row r="388" s="1" customFormat="1" ht="18" customHeight="1" spans="1:12">
      <c r="A388" s="174">
        <v>46256</v>
      </c>
      <c r="B388" s="174" t="s">
        <v>33</v>
      </c>
      <c r="C388" s="174" t="s">
        <v>41</v>
      </c>
      <c r="D388" s="174" t="s">
        <v>108</v>
      </c>
      <c r="E388" s="175">
        <v>19.2</v>
      </c>
      <c r="F388" s="176"/>
      <c r="G388" s="24"/>
      <c r="H388" s="162"/>
      <c r="I388" s="180"/>
      <c r="J388" s="181" t="s">
        <v>695</v>
      </c>
      <c r="K388" s="182"/>
      <c r="L388" s="1" t="s">
        <v>623</v>
      </c>
    </row>
    <row r="389" s="1" customFormat="1" ht="18" customHeight="1" spans="1:11">
      <c r="A389" s="174">
        <v>46256</v>
      </c>
      <c r="B389" s="174" t="s">
        <v>28</v>
      </c>
      <c r="C389" s="174" t="s">
        <v>41</v>
      </c>
      <c r="D389" s="174" t="s">
        <v>87</v>
      </c>
      <c r="E389" s="175">
        <v>13.2</v>
      </c>
      <c r="F389" s="176"/>
      <c r="G389" s="24"/>
      <c r="H389" s="162"/>
      <c r="I389" s="180"/>
      <c r="J389" s="181" t="s">
        <v>696</v>
      </c>
      <c r="K389" s="182"/>
    </row>
    <row r="390" s="1" customFormat="1" ht="18" customHeight="1" spans="1:11">
      <c r="A390" s="174">
        <v>46257</v>
      </c>
      <c r="B390" s="174" t="s">
        <v>464</v>
      </c>
      <c r="C390" s="174" t="s">
        <v>35</v>
      </c>
      <c r="D390" s="174" t="s">
        <v>697</v>
      </c>
      <c r="E390" s="175">
        <v>18.75</v>
      </c>
      <c r="F390" s="176"/>
      <c r="G390" s="24"/>
      <c r="H390" s="162"/>
      <c r="I390" s="180"/>
      <c r="J390" s="181" t="s">
        <v>698</v>
      </c>
      <c r="K390" s="182"/>
    </row>
    <row r="391" s="1" customFormat="1" ht="18" customHeight="1" spans="1:11">
      <c r="A391" s="174">
        <v>46257</v>
      </c>
      <c r="B391" s="174" t="s">
        <v>464</v>
      </c>
      <c r="C391" s="174" t="s">
        <v>35</v>
      </c>
      <c r="D391" s="174" t="s">
        <v>697</v>
      </c>
      <c r="E391" s="175">
        <v>18.75</v>
      </c>
      <c r="F391" s="176"/>
      <c r="G391" s="24"/>
      <c r="H391" s="162"/>
      <c r="I391" s="180"/>
      <c r="J391" s="181" t="s">
        <v>522</v>
      </c>
      <c r="K391" s="182"/>
    </row>
    <row r="392" s="1" customFormat="1" ht="18" customHeight="1" spans="1:12">
      <c r="A392" s="174">
        <v>46258</v>
      </c>
      <c r="B392" s="174" t="s">
        <v>66</v>
      </c>
      <c r="C392" s="174" t="s">
        <v>30</v>
      </c>
      <c r="D392" s="174" t="s">
        <v>100</v>
      </c>
      <c r="E392" s="175">
        <v>19.2</v>
      </c>
      <c r="F392" s="176" t="s">
        <v>626</v>
      </c>
      <c r="G392" s="24"/>
      <c r="H392" s="162"/>
      <c r="I392" s="180"/>
      <c r="J392" s="181" t="s">
        <v>699</v>
      </c>
      <c r="K392" s="182"/>
      <c r="L392" s="1" t="s">
        <v>623</v>
      </c>
    </row>
    <row r="393" s="1" customFormat="1" ht="18" customHeight="1" spans="1:11">
      <c r="A393" s="174">
        <v>46265</v>
      </c>
      <c r="B393" s="174" t="s">
        <v>165</v>
      </c>
      <c r="C393" s="174" t="s">
        <v>30</v>
      </c>
      <c r="D393" s="174" t="s">
        <v>253</v>
      </c>
      <c r="E393" s="175">
        <v>19.2</v>
      </c>
      <c r="F393" s="176"/>
      <c r="G393" s="24"/>
      <c r="H393" s="162"/>
      <c r="I393" s="180"/>
      <c r="J393" s="181" t="s">
        <v>618</v>
      </c>
      <c r="K393" s="182"/>
    </row>
    <row r="394" s="1" customFormat="1" ht="18" customHeight="1" spans="1:11">
      <c r="A394" s="174">
        <v>46265</v>
      </c>
      <c r="B394" s="174" t="s">
        <v>165</v>
      </c>
      <c r="C394" s="174" t="s">
        <v>30</v>
      </c>
      <c r="D394" s="174" t="s">
        <v>253</v>
      </c>
      <c r="E394" s="175">
        <v>19.2</v>
      </c>
      <c r="F394" s="176"/>
      <c r="G394" s="24"/>
      <c r="H394" s="162"/>
      <c r="I394" s="180"/>
      <c r="J394" s="181" t="s">
        <v>700</v>
      </c>
      <c r="K394" s="182"/>
    </row>
    <row r="395" s="1" customFormat="1" ht="18" customHeight="1" spans="1:11">
      <c r="A395" s="174">
        <v>46265</v>
      </c>
      <c r="B395" s="174" t="s">
        <v>165</v>
      </c>
      <c r="C395" s="174" t="s">
        <v>30</v>
      </c>
      <c r="D395" s="174" t="s">
        <v>253</v>
      </c>
      <c r="E395" s="175">
        <v>19.2</v>
      </c>
      <c r="F395" s="176"/>
      <c r="G395" s="24"/>
      <c r="H395" s="162"/>
      <c r="I395" s="180"/>
      <c r="J395" s="181" t="s">
        <v>701</v>
      </c>
      <c r="K395" s="182"/>
    </row>
    <row r="396" s="1" customFormat="1" ht="18" customHeight="1" spans="1:11">
      <c r="A396" s="174">
        <v>46265</v>
      </c>
      <c r="B396" s="174" t="s">
        <v>165</v>
      </c>
      <c r="C396" s="174" t="s">
        <v>30</v>
      </c>
      <c r="D396" s="174" t="s">
        <v>253</v>
      </c>
      <c r="E396" s="175">
        <v>19.2</v>
      </c>
      <c r="F396" s="176"/>
      <c r="G396" s="24"/>
      <c r="H396" s="162"/>
      <c r="I396" s="180"/>
      <c r="J396" s="181" t="s">
        <v>702</v>
      </c>
      <c r="K396" s="182"/>
    </row>
    <row r="397" s="1" customFormat="1" ht="18" customHeight="1" spans="1:11">
      <c r="A397" s="174">
        <v>46265</v>
      </c>
      <c r="B397" s="174" t="s">
        <v>258</v>
      </c>
      <c r="C397" s="174" t="s">
        <v>35</v>
      </c>
      <c r="D397" s="174" t="s">
        <v>259</v>
      </c>
      <c r="E397" s="175">
        <v>18</v>
      </c>
      <c r="F397" s="176"/>
      <c r="G397" s="24"/>
      <c r="H397" s="162"/>
      <c r="I397" s="180"/>
      <c r="J397" s="181" t="s">
        <v>703</v>
      </c>
      <c r="K397" s="182"/>
    </row>
    <row r="398" s="1" customFormat="1" ht="18" customHeight="1" spans="1:11">
      <c r="A398" s="174">
        <v>46265</v>
      </c>
      <c r="B398" s="174" t="s">
        <v>258</v>
      </c>
      <c r="C398" s="174" t="s">
        <v>35</v>
      </c>
      <c r="D398" s="174" t="s">
        <v>259</v>
      </c>
      <c r="E398" s="175">
        <v>18</v>
      </c>
      <c r="F398" s="176"/>
      <c r="G398" s="24"/>
      <c r="H398" s="162"/>
      <c r="I398" s="180"/>
      <c r="J398" s="181" t="s">
        <v>704</v>
      </c>
      <c r="K398" s="182"/>
    </row>
    <row r="399" s="1" customFormat="1" ht="18" customHeight="1" spans="1:11">
      <c r="A399" s="174">
        <v>46266</v>
      </c>
      <c r="B399" s="174" t="s">
        <v>464</v>
      </c>
      <c r="C399" s="174" t="s">
        <v>30</v>
      </c>
      <c r="D399" s="174" t="s">
        <v>256</v>
      </c>
      <c r="E399" s="175">
        <v>17.92</v>
      </c>
      <c r="F399" s="176"/>
      <c r="G399" s="24"/>
      <c r="H399" s="162"/>
      <c r="I399" s="180"/>
      <c r="J399" s="181" t="s">
        <v>705</v>
      </c>
      <c r="K399" s="182"/>
    </row>
    <row r="400" s="1" customFormat="1" ht="18" customHeight="1" spans="1:12">
      <c r="A400" s="174">
        <v>46268</v>
      </c>
      <c r="B400" s="174" t="s">
        <v>43</v>
      </c>
      <c r="C400" s="174" t="s">
        <v>47</v>
      </c>
      <c r="D400" s="174" t="s">
        <v>114</v>
      </c>
      <c r="E400" s="175">
        <v>6</v>
      </c>
      <c r="F400" s="176"/>
      <c r="G400" s="24"/>
      <c r="H400" s="162"/>
      <c r="I400" s="180"/>
      <c r="J400" s="181" t="s">
        <v>706</v>
      </c>
      <c r="K400" s="182"/>
      <c r="L400" s="1" t="s">
        <v>623</v>
      </c>
    </row>
    <row r="401" s="1" customFormat="1" ht="18" customHeight="1" spans="1:12">
      <c r="A401" s="174">
        <v>46268</v>
      </c>
      <c r="B401" s="174" t="s">
        <v>43</v>
      </c>
      <c r="C401" s="174" t="s">
        <v>45</v>
      </c>
      <c r="D401" s="174" t="s">
        <v>114</v>
      </c>
      <c r="E401" s="175">
        <v>3</v>
      </c>
      <c r="F401" s="176"/>
      <c r="G401" s="24"/>
      <c r="H401" s="162"/>
      <c r="I401" s="180"/>
      <c r="J401" s="181"/>
      <c r="K401" s="182"/>
      <c r="L401" s="1" t="s">
        <v>623</v>
      </c>
    </row>
    <row r="402" s="159" customFormat="1" ht="18" customHeight="1" spans="1:11">
      <c r="A402" s="174">
        <v>46269</v>
      </c>
      <c r="B402" s="174" t="s">
        <v>260</v>
      </c>
      <c r="C402" s="174" t="s">
        <v>35</v>
      </c>
      <c r="D402" s="174" t="s">
        <v>261</v>
      </c>
      <c r="E402" s="175">
        <v>1.92</v>
      </c>
      <c r="F402" s="176"/>
      <c r="G402" s="110"/>
      <c r="H402" s="162"/>
      <c r="I402" s="180"/>
      <c r="J402" s="181" t="s">
        <v>707</v>
      </c>
      <c r="K402" s="182"/>
    </row>
    <row r="403" s="1" customFormat="1" ht="18" customHeight="1" spans="1:12">
      <c r="A403" s="174">
        <v>46271</v>
      </c>
      <c r="B403" s="174" t="s">
        <v>66</v>
      </c>
      <c r="C403" s="174" t="s">
        <v>41</v>
      </c>
      <c r="D403" s="174" t="s">
        <v>105</v>
      </c>
      <c r="E403" s="175">
        <v>17</v>
      </c>
      <c r="F403" s="176"/>
      <c r="G403" s="24"/>
      <c r="H403" s="162"/>
      <c r="I403" s="180"/>
      <c r="J403" s="181" t="s">
        <v>708</v>
      </c>
      <c r="K403" s="182"/>
      <c r="L403" s="1" t="s">
        <v>623</v>
      </c>
    </row>
    <row r="404" s="1" customFormat="1" ht="18" customHeight="1" spans="1:12">
      <c r="A404" s="174">
        <v>46271</v>
      </c>
      <c r="B404" s="174" t="s">
        <v>66</v>
      </c>
      <c r="C404" s="174" t="s">
        <v>35</v>
      </c>
      <c r="D404" s="174" t="s">
        <v>105</v>
      </c>
      <c r="E404" s="175">
        <v>3</v>
      </c>
      <c r="F404" s="176"/>
      <c r="G404" s="24"/>
      <c r="H404" s="162"/>
      <c r="I404" s="180"/>
      <c r="J404" s="181"/>
      <c r="K404" s="182"/>
      <c r="L404" s="1" t="s">
        <v>623</v>
      </c>
    </row>
    <row r="405" s="1" customFormat="1" ht="18" customHeight="1" spans="1:12">
      <c r="A405" s="174">
        <v>46270</v>
      </c>
      <c r="B405" s="174" t="s">
        <v>96</v>
      </c>
      <c r="C405" s="174" t="s">
        <v>41</v>
      </c>
      <c r="D405" s="174" t="s">
        <v>113</v>
      </c>
      <c r="E405" s="175">
        <v>17.92</v>
      </c>
      <c r="F405" s="176"/>
      <c r="G405" s="24"/>
      <c r="H405" s="162"/>
      <c r="I405" s="180"/>
      <c r="J405" s="181" t="s">
        <v>709</v>
      </c>
      <c r="K405" s="182"/>
      <c r="L405" s="1" t="s">
        <v>623</v>
      </c>
    </row>
    <row r="406" s="1" customFormat="1" ht="18" customHeight="1" spans="1:12">
      <c r="A406" s="174">
        <v>46271</v>
      </c>
      <c r="B406" s="174" t="s">
        <v>33</v>
      </c>
      <c r="C406" s="174" t="s">
        <v>35</v>
      </c>
      <c r="D406" s="174" t="s">
        <v>108</v>
      </c>
      <c r="E406" s="175">
        <v>16.32</v>
      </c>
      <c r="F406" s="176"/>
      <c r="G406" s="24"/>
      <c r="H406" s="162"/>
      <c r="I406" s="180"/>
      <c r="J406" s="181" t="s">
        <v>710</v>
      </c>
      <c r="K406" s="182"/>
      <c r="L406" s="1" t="s">
        <v>623</v>
      </c>
    </row>
    <row r="407" s="1" customFormat="1" ht="18" customHeight="1" spans="1:12">
      <c r="A407" s="174">
        <v>46271</v>
      </c>
      <c r="B407" s="174" t="s">
        <v>33</v>
      </c>
      <c r="C407" s="174" t="s">
        <v>35</v>
      </c>
      <c r="D407" s="174" t="s">
        <v>108</v>
      </c>
      <c r="E407" s="175">
        <v>16.32</v>
      </c>
      <c r="F407" s="176"/>
      <c r="G407" s="24"/>
      <c r="H407" s="162"/>
      <c r="I407" s="180"/>
      <c r="J407" s="181" t="s">
        <v>711</v>
      </c>
      <c r="K407" s="182"/>
      <c r="L407" s="1" t="s">
        <v>623</v>
      </c>
    </row>
    <row r="408" s="1" customFormat="1" ht="18" customHeight="1" spans="1:12">
      <c r="A408" s="174">
        <v>46271</v>
      </c>
      <c r="B408" s="174" t="s">
        <v>33</v>
      </c>
      <c r="C408" s="174" t="s">
        <v>35</v>
      </c>
      <c r="D408" s="174" t="s">
        <v>108</v>
      </c>
      <c r="E408" s="175">
        <v>16.32</v>
      </c>
      <c r="F408" s="176"/>
      <c r="G408" s="24"/>
      <c r="H408" s="162"/>
      <c r="I408" s="180"/>
      <c r="J408" s="181" t="s">
        <v>712</v>
      </c>
      <c r="K408" s="182"/>
      <c r="L408" s="1" t="s">
        <v>623</v>
      </c>
    </row>
    <row r="409" s="1" customFormat="1" ht="18" customHeight="1" spans="1:12">
      <c r="A409" s="174">
        <v>46272</v>
      </c>
      <c r="B409" s="174" t="s">
        <v>33</v>
      </c>
      <c r="C409" s="174" t="s">
        <v>35</v>
      </c>
      <c r="D409" s="174" t="s">
        <v>108</v>
      </c>
      <c r="E409" s="175">
        <v>16.32</v>
      </c>
      <c r="F409" s="176"/>
      <c r="G409" s="24"/>
      <c r="H409" s="162"/>
      <c r="I409" s="180"/>
      <c r="J409" s="181" t="s">
        <v>713</v>
      </c>
      <c r="K409" s="182"/>
      <c r="L409" s="1" t="s">
        <v>623</v>
      </c>
    </row>
    <row r="410" s="1" customFormat="1" ht="18" customHeight="1" spans="1:12">
      <c r="A410" s="174">
        <v>46272</v>
      </c>
      <c r="B410" s="174" t="s">
        <v>33</v>
      </c>
      <c r="C410" s="174" t="s">
        <v>35</v>
      </c>
      <c r="D410" s="174" t="s">
        <v>108</v>
      </c>
      <c r="E410" s="175">
        <v>16.32</v>
      </c>
      <c r="F410" s="176"/>
      <c r="G410" s="24"/>
      <c r="H410" s="162"/>
      <c r="I410" s="180"/>
      <c r="J410" s="181" t="s">
        <v>714</v>
      </c>
      <c r="K410" s="182"/>
      <c r="L410" s="1" t="s">
        <v>623</v>
      </c>
    </row>
    <row r="411" s="1" customFormat="1" ht="18" customHeight="1" spans="1:11">
      <c r="A411" s="174">
        <v>46273</v>
      </c>
      <c r="B411" s="174" t="s">
        <v>202</v>
      </c>
      <c r="C411" s="174" t="s">
        <v>35</v>
      </c>
      <c r="D411" s="174" t="s">
        <v>266</v>
      </c>
      <c r="E411" s="175">
        <v>0.48</v>
      </c>
      <c r="F411" s="176"/>
      <c r="G411" s="24"/>
      <c r="H411" s="162"/>
      <c r="I411" s="180"/>
      <c r="J411" s="181" t="s">
        <v>715</v>
      </c>
      <c r="K411" s="182"/>
    </row>
    <row r="412" s="1" customFormat="1" ht="18" customHeight="1" spans="1:12">
      <c r="A412" s="174">
        <v>46275</v>
      </c>
      <c r="B412" s="174" t="s">
        <v>43</v>
      </c>
      <c r="C412" s="174" t="s">
        <v>47</v>
      </c>
      <c r="D412" s="174" t="s">
        <v>119</v>
      </c>
      <c r="E412" s="175">
        <v>6</v>
      </c>
      <c r="F412" s="176"/>
      <c r="G412" s="24"/>
      <c r="H412" s="162"/>
      <c r="I412" s="180"/>
      <c r="J412" s="181" t="s">
        <v>716</v>
      </c>
      <c r="K412" s="182"/>
      <c r="L412" s="1" t="s">
        <v>623</v>
      </c>
    </row>
    <row r="413" s="1" customFormat="1" ht="18" customHeight="1" spans="1:12">
      <c r="A413" s="174">
        <v>46275</v>
      </c>
      <c r="B413" s="174" t="s">
        <v>43</v>
      </c>
      <c r="C413" s="174" t="s">
        <v>45</v>
      </c>
      <c r="D413" s="174" t="s">
        <v>119</v>
      </c>
      <c r="E413" s="175">
        <v>4.5</v>
      </c>
      <c r="F413" s="176"/>
      <c r="G413" s="24"/>
      <c r="H413" s="162"/>
      <c r="I413" s="180"/>
      <c r="J413" s="181"/>
      <c r="K413" s="182"/>
      <c r="L413" s="1" t="s">
        <v>623</v>
      </c>
    </row>
    <row r="414" s="1" customFormat="1" ht="18" customHeight="1" spans="1:12">
      <c r="A414" s="174">
        <v>46275</v>
      </c>
      <c r="B414" s="174" t="s">
        <v>61</v>
      </c>
      <c r="C414" s="174" t="s">
        <v>30</v>
      </c>
      <c r="D414" s="174" t="s">
        <v>107</v>
      </c>
      <c r="E414" s="175">
        <v>8.5</v>
      </c>
      <c r="F414" s="176"/>
      <c r="G414" s="24"/>
      <c r="H414" s="162"/>
      <c r="I414" s="180"/>
      <c r="J414" s="181" t="s">
        <v>717</v>
      </c>
      <c r="K414" s="182"/>
      <c r="L414" s="1" t="s">
        <v>623</v>
      </c>
    </row>
    <row r="415" s="1" customFormat="1" ht="18" customHeight="1" spans="1:11">
      <c r="A415" s="174">
        <v>46277</v>
      </c>
      <c r="B415" s="174" t="s">
        <v>28</v>
      </c>
      <c r="C415" s="174" t="s">
        <v>41</v>
      </c>
      <c r="D415" s="174" t="s">
        <v>111</v>
      </c>
      <c r="E415" s="175">
        <v>19.2</v>
      </c>
      <c r="F415" s="176"/>
      <c r="G415" s="24"/>
      <c r="H415" s="162"/>
      <c r="I415" s="180"/>
      <c r="J415" s="181" t="s">
        <v>718</v>
      </c>
      <c r="K415" s="182"/>
    </row>
    <row r="416" s="1" customFormat="1" ht="18" customHeight="1" spans="1:11">
      <c r="A416" s="174">
        <v>46277</v>
      </c>
      <c r="B416" s="174" t="s">
        <v>28</v>
      </c>
      <c r="C416" s="174" t="s">
        <v>41</v>
      </c>
      <c r="D416" s="174" t="s">
        <v>111</v>
      </c>
      <c r="E416" s="175">
        <v>19.2</v>
      </c>
      <c r="F416" s="176"/>
      <c r="G416" s="24"/>
      <c r="H416" s="162"/>
      <c r="I416" s="180"/>
      <c r="J416" s="181" t="s">
        <v>719</v>
      </c>
      <c r="K416" s="182"/>
    </row>
    <row r="417" s="1" customFormat="1" ht="18" customHeight="1" spans="1:11">
      <c r="A417" s="174">
        <v>46278</v>
      </c>
      <c r="B417" s="174" t="s">
        <v>28</v>
      </c>
      <c r="C417" s="174" t="s">
        <v>41</v>
      </c>
      <c r="D417" s="174" t="s">
        <v>111</v>
      </c>
      <c r="E417" s="175">
        <v>19.2</v>
      </c>
      <c r="F417" s="176"/>
      <c r="G417" s="24"/>
      <c r="H417" s="162"/>
      <c r="I417" s="180"/>
      <c r="J417" s="181" t="s">
        <v>719</v>
      </c>
      <c r="K417" s="182"/>
    </row>
    <row r="418" s="1" customFormat="1" ht="18" customHeight="1" spans="1:11">
      <c r="A418" s="174">
        <v>46278</v>
      </c>
      <c r="B418" s="174" t="s">
        <v>28</v>
      </c>
      <c r="C418" s="174" t="s">
        <v>41</v>
      </c>
      <c r="D418" s="174" t="s">
        <v>111</v>
      </c>
      <c r="E418" s="175">
        <v>19.2</v>
      </c>
      <c r="F418" s="176"/>
      <c r="G418" s="24"/>
      <c r="H418" s="162"/>
      <c r="I418" s="180"/>
      <c r="J418" s="181" t="s">
        <v>720</v>
      </c>
      <c r="K418" s="182"/>
    </row>
    <row r="419" s="1" customFormat="1" ht="18" customHeight="1" spans="1:11">
      <c r="A419" s="174">
        <v>46279</v>
      </c>
      <c r="B419" s="174" t="s">
        <v>28</v>
      </c>
      <c r="C419" s="174" t="s">
        <v>41</v>
      </c>
      <c r="D419" s="174" t="s">
        <v>98</v>
      </c>
      <c r="E419" s="175">
        <v>26.4</v>
      </c>
      <c r="F419" s="176"/>
      <c r="G419" s="24"/>
      <c r="H419" s="162"/>
      <c r="I419" s="180"/>
      <c r="J419" s="181" t="s">
        <v>721</v>
      </c>
      <c r="K419" s="182"/>
    </row>
    <row r="420" s="1" customFormat="1" ht="18" customHeight="1" spans="1:11">
      <c r="A420" s="174">
        <v>46280</v>
      </c>
      <c r="B420" s="174" t="s">
        <v>464</v>
      </c>
      <c r="C420" s="174" t="s">
        <v>35</v>
      </c>
      <c r="D420" s="174" t="s">
        <v>269</v>
      </c>
      <c r="E420" s="175">
        <v>16.32</v>
      </c>
      <c r="F420" s="176"/>
      <c r="G420" s="24"/>
      <c r="H420" s="162"/>
      <c r="I420" s="180"/>
      <c r="J420" s="181" t="s">
        <v>722</v>
      </c>
      <c r="K420" s="182"/>
    </row>
    <row r="421" s="1" customFormat="1" ht="18" customHeight="1" spans="1:11">
      <c r="A421" s="174">
        <v>46280</v>
      </c>
      <c r="B421" s="174" t="s">
        <v>43</v>
      </c>
      <c r="C421" s="174" t="s">
        <v>47</v>
      </c>
      <c r="D421" s="174" t="s">
        <v>122</v>
      </c>
      <c r="E421" s="175">
        <v>6</v>
      </c>
      <c r="F421" s="176"/>
      <c r="G421" s="24"/>
      <c r="H421" s="162"/>
      <c r="I421" s="180"/>
      <c r="J421" s="181" t="s">
        <v>723</v>
      </c>
      <c r="K421" s="182"/>
    </row>
    <row r="422" s="1" customFormat="1" ht="18" customHeight="1" spans="1:11">
      <c r="A422" s="174">
        <v>46280</v>
      </c>
      <c r="B422" s="174" t="s">
        <v>28</v>
      </c>
      <c r="C422" s="174" t="s">
        <v>41</v>
      </c>
      <c r="D422" s="174" t="s">
        <v>111</v>
      </c>
      <c r="E422" s="175">
        <v>19.2</v>
      </c>
      <c r="F422" s="176"/>
      <c r="G422" s="24"/>
      <c r="H422" s="162"/>
      <c r="I422" s="180"/>
      <c r="J422" s="181" t="s">
        <v>724</v>
      </c>
      <c r="K422" s="182"/>
    </row>
    <row r="423" s="1" customFormat="1" ht="18" customHeight="1" spans="1:11">
      <c r="A423" s="174">
        <v>46280</v>
      </c>
      <c r="B423" s="174" t="s">
        <v>28</v>
      </c>
      <c r="C423" s="174" t="s">
        <v>41</v>
      </c>
      <c r="D423" s="174" t="s">
        <v>111</v>
      </c>
      <c r="E423" s="175">
        <v>19.2</v>
      </c>
      <c r="F423" s="176"/>
      <c r="G423" s="24"/>
      <c r="H423" s="162"/>
      <c r="I423" s="180"/>
      <c r="J423" s="181" t="s">
        <v>725</v>
      </c>
      <c r="K423" s="182"/>
    </row>
    <row r="424" s="1" customFormat="1" ht="18" customHeight="1" spans="1:11">
      <c r="A424" s="174">
        <v>46281</v>
      </c>
      <c r="B424" s="174" t="s">
        <v>464</v>
      </c>
      <c r="C424" s="174" t="s">
        <v>35</v>
      </c>
      <c r="D424" s="174" t="s">
        <v>252</v>
      </c>
      <c r="E424" s="175">
        <v>16.32</v>
      </c>
      <c r="F424" s="176"/>
      <c r="G424" s="24"/>
      <c r="H424" s="162"/>
      <c r="I424" s="180"/>
      <c r="J424" s="181" t="s">
        <v>726</v>
      </c>
      <c r="K424" s="182"/>
    </row>
    <row r="425" s="1" customFormat="1" ht="18" customHeight="1" spans="1:11">
      <c r="A425" s="174">
        <v>46281</v>
      </c>
      <c r="B425" s="174" t="s">
        <v>464</v>
      </c>
      <c r="C425" s="174" t="s">
        <v>35</v>
      </c>
      <c r="D425" s="174" t="s">
        <v>252</v>
      </c>
      <c r="E425" s="175">
        <v>16.32</v>
      </c>
      <c r="F425" s="176"/>
      <c r="G425" s="24"/>
      <c r="H425" s="162"/>
      <c r="I425" s="180"/>
      <c r="J425" s="181" t="s">
        <v>727</v>
      </c>
      <c r="K425" s="182"/>
    </row>
    <row r="426" s="1" customFormat="1" ht="18" customHeight="1" spans="1:11">
      <c r="A426" s="174">
        <v>46281</v>
      </c>
      <c r="B426" s="174" t="s">
        <v>165</v>
      </c>
      <c r="C426" s="174" t="s">
        <v>41</v>
      </c>
      <c r="D426" s="174" t="s">
        <v>271</v>
      </c>
      <c r="E426" s="175">
        <v>19.2</v>
      </c>
      <c r="F426" s="176"/>
      <c r="G426" s="24"/>
      <c r="H426" s="162"/>
      <c r="I426" s="180"/>
      <c r="J426" s="181" t="s">
        <v>728</v>
      </c>
      <c r="K426" s="182"/>
    </row>
    <row r="427" s="1" customFormat="1" ht="18" customHeight="1" spans="1:11">
      <c r="A427" s="174">
        <v>46281</v>
      </c>
      <c r="B427" s="174" t="s">
        <v>165</v>
      </c>
      <c r="C427" s="174" t="s">
        <v>41</v>
      </c>
      <c r="D427" s="174" t="s">
        <v>271</v>
      </c>
      <c r="E427" s="175">
        <v>19.2</v>
      </c>
      <c r="F427" s="176"/>
      <c r="G427" s="24"/>
      <c r="H427" s="162"/>
      <c r="I427" s="180"/>
      <c r="J427" s="181" t="s">
        <v>729</v>
      </c>
      <c r="K427" s="182"/>
    </row>
    <row r="428" s="1" customFormat="1" ht="18" customHeight="1" spans="1:11">
      <c r="A428" s="174">
        <v>46281</v>
      </c>
      <c r="B428" s="174" t="s">
        <v>165</v>
      </c>
      <c r="C428" s="174" t="s">
        <v>41</v>
      </c>
      <c r="D428" s="174" t="s">
        <v>271</v>
      </c>
      <c r="E428" s="175">
        <v>19.2</v>
      </c>
      <c r="F428" s="176"/>
      <c r="G428" s="24"/>
      <c r="H428" s="162"/>
      <c r="I428" s="180"/>
      <c r="J428" s="181" t="s">
        <v>730</v>
      </c>
      <c r="K428" s="182"/>
    </row>
    <row r="429" s="1" customFormat="1" ht="18" customHeight="1" spans="1:11">
      <c r="A429" s="174">
        <v>46281</v>
      </c>
      <c r="B429" s="174" t="s">
        <v>165</v>
      </c>
      <c r="C429" s="174" t="s">
        <v>41</v>
      </c>
      <c r="D429" s="174" t="s">
        <v>271</v>
      </c>
      <c r="E429" s="175">
        <v>19.2</v>
      </c>
      <c r="F429" s="176"/>
      <c r="G429" s="24"/>
      <c r="H429" s="162"/>
      <c r="I429" s="180"/>
      <c r="J429" s="181" t="s">
        <v>731</v>
      </c>
      <c r="K429" s="182"/>
    </row>
    <row r="430" s="1" customFormat="1" ht="18" customHeight="1" spans="1:11">
      <c r="A430" s="174">
        <v>46281</v>
      </c>
      <c r="B430" s="174" t="s">
        <v>165</v>
      </c>
      <c r="C430" s="174" t="s">
        <v>41</v>
      </c>
      <c r="D430" s="174" t="s">
        <v>271</v>
      </c>
      <c r="E430" s="175">
        <v>19.2</v>
      </c>
      <c r="F430" s="176"/>
      <c r="G430" s="24"/>
      <c r="H430" s="162"/>
      <c r="I430" s="180"/>
      <c r="J430" s="181" t="s">
        <v>732</v>
      </c>
      <c r="K430" s="182"/>
    </row>
    <row r="431" s="1" customFormat="1" ht="18" customHeight="1" spans="1:11">
      <c r="A431" s="174">
        <v>46281</v>
      </c>
      <c r="B431" s="174" t="s">
        <v>165</v>
      </c>
      <c r="C431" s="174" t="s">
        <v>41</v>
      </c>
      <c r="D431" s="174" t="s">
        <v>271</v>
      </c>
      <c r="E431" s="175">
        <v>19.2</v>
      </c>
      <c r="F431" s="176"/>
      <c r="G431" s="24"/>
      <c r="H431" s="162"/>
      <c r="I431" s="180"/>
      <c r="J431" s="181" t="s">
        <v>733</v>
      </c>
      <c r="K431" s="182"/>
    </row>
    <row r="432" s="1" customFormat="1" ht="18" customHeight="1" spans="1:11">
      <c r="A432" s="174">
        <v>46281</v>
      </c>
      <c r="B432" s="174" t="s">
        <v>28</v>
      </c>
      <c r="C432" s="174" t="s">
        <v>41</v>
      </c>
      <c r="D432" s="174" t="s">
        <v>98</v>
      </c>
      <c r="E432" s="175">
        <v>26.4</v>
      </c>
      <c r="F432" s="176"/>
      <c r="G432" s="24"/>
      <c r="H432" s="162"/>
      <c r="I432" s="180"/>
      <c r="J432" s="181" t="s">
        <v>734</v>
      </c>
      <c r="K432" s="182"/>
    </row>
    <row r="433" s="1" customFormat="1" ht="18" customHeight="1" spans="1:11">
      <c r="A433" s="174">
        <v>46282</v>
      </c>
      <c r="B433" s="174" t="s">
        <v>165</v>
      </c>
      <c r="C433" s="174" t="s">
        <v>41</v>
      </c>
      <c r="D433" s="174" t="s">
        <v>271</v>
      </c>
      <c r="E433" s="175">
        <v>19.2</v>
      </c>
      <c r="F433" s="176"/>
      <c r="G433" s="24"/>
      <c r="H433" s="162"/>
      <c r="I433" s="180"/>
      <c r="J433" s="181" t="s">
        <v>735</v>
      </c>
      <c r="K433" s="182"/>
    </row>
    <row r="434" s="1" customFormat="1" ht="18" customHeight="1" spans="1:11">
      <c r="A434" s="174">
        <v>46282</v>
      </c>
      <c r="B434" s="174" t="s">
        <v>165</v>
      </c>
      <c r="C434" s="174" t="s">
        <v>41</v>
      </c>
      <c r="D434" s="174" t="s">
        <v>271</v>
      </c>
      <c r="E434" s="175">
        <v>19.2</v>
      </c>
      <c r="F434" s="176"/>
      <c r="G434" s="24"/>
      <c r="H434" s="162"/>
      <c r="I434" s="180"/>
      <c r="J434" s="181" t="s">
        <v>736</v>
      </c>
      <c r="K434" s="182"/>
    </row>
    <row r="435" s="1" customFormat="1" ht="18" customHeight="1" spans="1:11">
      <c r="A435" s="174">
        <v>46282</v>
      </c>
      <c r="B435" s="174" t="s">
        <v>165</v>
      </c>
      <c r="C435" s="174" t="s">
        <v>30</v>
      </c>
      <c r="D435" s="174" t="s">
        <v>271</v>
      </c>
      <c r="E435" s="175">
        <v>17.92</v>
      </c>
      <c r="F435" s="176"/>
      <c r="G435" s="24"/>
      <c r="H435" s="162"/>
      <c r="I435" s="180"/>
      <c r="J435" s="181" t="s">
        <v>737</v>
      </c>
      <c r="K435" s="182"/>
    </row>
    <row r="436" s="1" customFormat="1" ht="18" customHeight="1" spans="1:11">
      <c r="A436" s="174">
        <v>46282</v>
      </c>
      <c r="B436" s="174" t="s">
        <v>464</v>
      </c>
      <c r="C436" s="174" t="s">
        <v>35</v>
      </c>
      <c r="D436" s="174" t="s">
        <v>252</v>
      </c>
      <c r="E436" s="175">
        <v>16.32</v>
      </c>
      <c r="F436" s="176"/>
      <c r="G436" s="24"/>
      <c r="H436" s="162"/>
      <c r="I436" s="180"/>
      <c r="J436" s="181" t="s">
        <v>738</v>
      </c>
      <c r="K436" s="182"/>
    </row>
    <row r="437" s="1" customFormat="1" ht="18" customHeight="1" spans="1:11">
      <c r="A437" s="174">
        <v>46282</v>
      </c>
      <c r="B437" s="174" t="s">
        <v>464</v>
      </c>
      <c r="C437" s="174" t="s">
        <v>35</v>
      </c>
      <c r="D437" s="174" t="s">
        <v>252</v>
      </c>
      <c r="E437" s="175">
        <v>16.32</v>
      </c>
      <c r="F437" s="176"/>
      <c r="G437" s="24"/>
      <c r="H437" s="162"/>
      <c r="I437" s="180"/>
      <c r="J437" s="181" t="s">
        <v>739</v>
      </c>
      <c r="K437" s="182"/>
    </row>
    <row r="438" s="159" customFormat="1" ht="18" customHeight="1" spans="1:11">
      <c r="A438" s="174">
        <v>46283</v>
      </c>
      <c r="B438" s="174" t="s">
        <v>165</v>
      </c>
      <c r="C438" s="174" t="s">
        <v>30</v>
      </c>
      <c r="D438" s="174" t="s">
        <v>271</v>
      </c>
      <c r="E438" s="175">
        <v>17.92</v>
      </c>
      <c r="F438" s="176"/>
      <c r="G438" s="110"/>
      <c r="H438" s="162"/>
      <c r="I438" s="180"/>
      <c r="J438" s="181" t="s">
        <v>740</v>
      </c>
      <c r="K438" s="182"/>
    </row>
    <row r="439" s="159" customFormat="1" ht="18" customHeight="1" spans="1:11">
      <c r="A439" s="174">
        <v>46286</v>
      </c>
      <c r="B439" s="174" t="s">
        <v>165</v>
      </c>
      <c r="C439" s="174" t="s">
        <v>30</v>
      </c>
      <c r="D439" s="174" t="s">
        <v>271</v>
      </c>
      <c r="E439" s="175">
        <v>17.92</v>
      </c>
      <c r="F439" s="176"/>
      <c r="G439" s="110"/>
      <c r="H439" s="162"/>
      <c r="I439" s="180"/>
      <c r="J439" s="181" t="s">
        <v>741</v>
      </c>
      <c r="K439" s="182"/>
    </row>
    <row r="440" s="159" customFormat="1" ht="18" customHeight="1" spans="1:11">
      <c r="A440" s="174">
        <v>46286</v>
      </c>
      <c r="B440" s="174" t="s">
        <v>165</v>
      </c>
      <c r="C440" s="174" t="s">
        <v>30</v>
      </c>
      <c r="D440" s="174" t="s">
        <v>271</v>
      </c>
      <c r="E440" s="175">
        <v>17.92</v>
      </c>
      <c r="F440" s="176"/>
      <c r="G440" s="110"/>
      <c r="H440" s="162"/>
      <c r="I440" s="180"/>
      <c r="J440" s="181" t="s">
        <v>729</v>
      </c>
      <c r="K440" s="182"/>
    </row>
    <row r="441" s="159" customFormat="1" ht="18" customHeight="1" spans="1:11">
      <c r="A441" s="174">
        <v>46286</v>
      </c>
      <c r="B441" s="174" t="s">
        <v>165</v>
      </c>
      <c r="C441" s="174" t="s">
        <v>30</v>
      </c>
      <c r="D441" s="174" t="s">
        <v>271</v>
      </c>
      <c r="E441" s="175">
        <v>17.92</v>
      </c>
      <c r="F441" s="176"/>
      <c r="G441" s="110"/>
      <c r="H441" s="162"/>
      <c r="I441" s="180"/>
      <c r="J441" s="181" t="s">
        <v>742</v>
      </c>
      <c r="K441" s="182"/>
    </row>
    <row r="442" s="159" customFormat="1" ht="18" customHeight="1" spans="1:11">
      <c r="A442" s="174">
        <v>46286</v>
      </c>
      <c r="B442" s="174" t="s">
        <v>165</v>
      </c>
      <c r="C442" s="174" t="s">
        <v>30</v>
      </c>
      <c r="D442" s="174" t="s">
        <v>271</v>
      </c>
      <c r="E442" s="175">
        <v>17.92</v>
      </c>
      <c r="F442" s="176"/>
      <c r="G442" s="110"/>
      <c r="H442" s="162"/>
      <c r="I442" s="180"/>
      <c r="J442" s="181" t="s">
        <v>743</v>
      </c>
      <c r="K442" s="182"/>
    </row>
    <row r="443" s="159" customFormat="1" ht="18" customHeight="1" spans="1:11">
      <c r="A443" s="174">
        <v>46286</v>
      </c>
      <c r="B443" s="174" t="s">
        <v>165</v>
      </c>
      <c r="C443" s="174" t="s">
        <v>30</v>
      </c>
      <c r="D443" s="174" t="s">
        <v>271</v>
      </c>
      <c r="E443" s="175">
        <v>17.92</v>
      </c>
      <c r="F443" s="176"/>
      <c r="G443" s="110"/>
      <c r="H443" s="162"/>
      <c r="I443" s="180"/>
      <c r="J443" s="181" t="s">
        <v>744</v>
      </c>
      <c r="K443" s="182"/>
    </row>
    <row r="444" s="159" customFormat="1" ht="18" customHeight="1" spans="1:11">
      <c r="A444" s="174">
        <v>46286</v>
      </c>
      <c r="B444" s="174" t="s">
        <v>165</v>
      </c>
      <c r="C444" s="174" t="s">
        <v>30</v>
      </c>
      <c r="D444" s="174" t="s">
        <v>271</v>
      </c>
      <c r="E444" s="175">
        <v>17.92</v>
      </c>
      <c r="F444" s="176"/>
      <c r="G444" s="110"/>
      <c r="H444" s="162"/>
      <c r="I444" s="180"/>
      <c r="J444" s="181" t="s">
        <v>745</v>
      </c>
      <c r="K444" s="182"/>
    </row>
    <row r="445" s="1" customFormat="1" ht="18" customHeight="1" spans="1:11">
      <c r="A445" s="174">
        <v>46287</v>
      </c>
      <c r="B445" s="174" t="s">
        <v>43</v>
      </c>
      <c r="C445" s="174" t="s">
        <v>47</v>
      </c>
      <c r="D445" s="174" t="s">
        <v>123</v>
      </c>
      <c r="E445" s="175">
        <v>6</v>
      </c>
      <c r="F445" s="176"/>
      <c r="G445" s="24"/>
      <c r="H445" s="162"/>
      <c r="I445" s="180"/>
      <c r="J445" s="181" t="s">
        <v>746</v>
      </c>
      <c r="K445" s="182"/>
    </row>
    <row r="446" s="1" customFormat="1" ht="18" customHeight="1" spans="1:11">
      <c r="A446" s="174">
        <v>46288</v>
      </c>
      <c r="B446" s="174" t="s">
        <v>28</v>
      </c>
      <c r="C446" s="174" t="s">
        <v>41</v>
      </c>
      <c r="D446" s="174" t="s">
        <v>111</v>
      </c>
      <c r="E446" s="175">
        <v>19.2</v>
      </c>
      <c r="F446" s="176"/>
      <c r="G446" s="24"/>
      <c r="H446" s="162"/>
      <c r="I446" s="180"/>
      <c r="J446" s="181" t="s">
        <v>747</v>
      </c>
      <c r="K446" s="182"/>
    </row>
    <row r="447" s="1" customFormat="1" ht="18" customHeight="1" spans="1:11">
      <c r="A447" s="174">
        <v>46288</v>
      </c>
      <c r="B447" s="174" t="s">
        <v>28</v>
      </c>
      <c r="C447" s="174" t="s">
        <v>41</v>
      </c>
      <c r="D447" s="174" t="s">
        <v>111</v>
      </c>
      <c r="E447" s="175">
        <v>19.2</v>
      </c>
      <c r="F447" s="176"/>
      <c r="G447" s="24"/>
      <c r="H447" s="162"/>
      <c r="I447" s="180"/>
      <c r="J447" s="181" t="s">
        <v>748</v>
      </c>
      <c r="K447" s="182"/>
    </row>
    <row r="448" s="1" customFormat="1" ht="18" customHeight="1" spans="1:11">
      <c r="A448" s="174">
        <v>46288</v>
      </c>
      <c r="B448" s="174" t="s">
        <v>28</v>
      </c>
      <c r="C448" s="174" t="s">
        <v>41</v>
      </c>
      <c r="D448" s="174" t="s">
        <v>111</v>
      </c>
      <c r="E448" s="175">
        <v>19.2</v>
      </c>
      <c r="F448" s="176"/>
      <c r="G448" s="24"/>
      <c r="H448" s="162"/>
      <c r="I448" s="180"/>
      <c r="J448" s="181" t="s">
        <v>749</v>
      </c>
      <c r="K448" s="182"/>
    </row>
    <row r="449" s="1" customFormat="1" ht="18" customHeight="1" spans="1:11">
      <c r="A449" s="174">
        <v>46289</v>
      </c>
      <c r="B449" s="174" t="s">
        <v>28</v>
      </c>
      <c r="C449" s="174" t="s">
        <v>41</v>
      </c>
      <c r="D449" s="174" t="s">
        <v>111</v>
      </c>
      <c r="E449" s="175">
        <v>19.2</v>
      </c>
      <c r="F449" s="176"/>
      <c r="G449" s="24"/>
      <c r="H449" s="162"/>
      <c r="I449" s="180"/>
      <c r="J449" s="181" t="s">
        <v>750</v>
      </c>
      <c r="K449" s="182"/>
    </row>
    <row r="450" s="1" customFormat="1" ht="18" customHeight="1" spans="1:11">
      <c r="A450" s="174">
        <v>46290</v>
      </c>
      <c r="B450" s="174" t="s">
        <v>48</v>
      </c>
      <c r="C450" s="174" t="s">
        <v>35</v>
      </c>
      <c r="D450" s="174" t="s">
        <v>124</v>
      </c>
      <c r="E450" s="175">
        <v>4.05</v>
      </c>
      <c r="F450" s="176"/>
      <c r="G450" s="24"/>
      <c r="H450" s="162"/>
      <c r="I450" s="180"/>
      <c r="J450" s="181" t="s">
        <v>751</v>
      </c>
      <c r="K450" s="182"/>
    </row>
    <row r="451" s="1" customFormat="1" ht="18" customHeight="1" spans="1:11">
      <c r="A451" s="174">
        <v>46291</v>
      </c>
      <c r="B451" s="174" t="s">
        <v>28</v>
      </c>
      <c r="C451" s="174" t="s">
        <v>41</v>
      </c>
      <c r="D451" s="174" t="s">
        <v>111</v>
      </c>
      <c r="E451" s="175">
        <v>19.2</v>
      </c>
      <c r="F451" s="176"/>
      <c r="G451" s="24"/>
      <c r="H451" s="162"/>
      <c r="I451" s="180"/>
      <c r="J451" s="181" t="s">
        <v>752</v>
      </c>
      <c r="K451" s="182"/>
    </row>
    <row r="452" s="1" customFormat="1" ht="18" customHeight="1" spans="1:11">
      <c r="A452" s="174">
        <v>46291</v>
      </c>
      <c r="B452" s="174" t="s">
        <v>28</v>
      </c>
      <c r="C452" s="174" t="s">
        <v>41</v>
      </c>
      <c r="D452" s="174" t="s">
        <v>111</v>
      </c>
      <c r="E452" s="175">
        <v>19.2</v>
      </c>
      <c r="F452" s="176"/>
      <c r="G452" s="24"/>
      <c r="H452" s="162"/>
      <c r="I452" s="180"/>
      <c r="J452" s="181" t="s">
        <v>753</v>
      </c>
      <c r="K452" s="182"/>
    </row>
    <row r="453" s="1" customFormat="1" ht="18" customHeight="1" spans="1:11">
      <c r="A453" s="174">
        <v>46291</v>
      </c>
      <c r="B453" s="174" t="s">
        <v>28</v>
      </c>
      <c r="C453" s="174" t="s">
        <v>41</v>
      </c>
      <c r="D453" s="143" t="s">
        <v>118</v>
      </c>
      <c r="E453" s="175">
        <v>19.2</v>
      </c>
      <c r="F453" s="176"/>
      <c r="G453" s="24"/>
      <c r="H453" s="162"/>
      <c r="I453" s="180"/>
      <c r="J453" s="181" t="s">
        <v>754</v>
      </c>
      <c r="K453" s="182"/>
    </row>
    <row r="454" s="1" customFormat="1" ht="18" customHeight="1" spans="1:11">
      <c r="A454" s="174">
        <v>46291</v>
      </c>
      <c r="B454" s="174" t="s">
        <v>28</v>
      </c>
      <c r="C454" s="174" t="s">
        <v>41</v>
      </c>
      <c r="D454" s="143" t="s">
        <v>118</v>
      </c>
      <c r="E454" s="175">
        <v>19.2</v>
      </c>
      <c r="F454" s="176"/>
      <c r="G454" s="24"/>
      <c r="H454" s="162"/>
      <c r="I454" s="180"/>
      <c r="J454" s="181" t="s">
        <v>755</v>
      </c>
      <c r="K454" s="182"/>
    </row>
    <row r="455" s="1" customFormat="1" ht="18" customHeight="1" spans="1:11">
      <c r="A455" s="174">
        <v>46291</v>
      </c>
      <c r="B455" s="174" t="s">
        <v>28</v>
      </c>
      <c r="C455" s="174" t="s">
        <v>41</v>
      </c>
      <c r="D455" s="143" t="s">
        <v>118</v>
      </c>
      <c r="E455" s="175">
        <v>19.2</v>
      </c>
      <c r="F455" s="176"/>
      <c r="G455" s="24"/>
      <c r="H455" s="162"/>
      <c r="I455" s="180"/>
      <c r="J455" s="181" t="s">
        <v>756</v>
      </c>
      <c r="K455" s="182"/>
    </row>
    <row r="456" s="1" customFormat="1" ht="18" customHeight="1" spans="1:11">
      <c r="A456" s="174">
        <v>46291</v>
      </c>
      <c r="B456" s="174" t="s">
        <v>28</v>
      </c>
      <c r="C456" s="174" t="s">
        <v>41</v>
      </c>
      <c r="D456" s="143" t="s">
        <v>118</v>
      </c>
      <c r="E456" s="175">
        <v>19.2</v>
      </c>
      <c r="F456" s="176"/>
      <c r="G456" s="24"/>
      <c r="H456" s="162"/>
      <c r="I456" s="180"/>
      <c r="J456" s="181" t="s">
        <v>757</v>
      </c>
      <c r="K456" s="182"/>
    </row>
    <row r="457" s="1" customFormat="1" ht="18" customHeight="1" spans="1:11">
      <c r="A457" s="183">
        <v>46292</v>
      </c>
      <c r="B457" s="174" t="s">
        <v>28</v>
      </c>
      <c r="C457" s="174" t="s">
        <v>41</v>
      </c>
      <c r="D457" s="143" t="s">
        <v>118</v>
      </c>
      <c r="E457" s="175">
        <v>19.2</v>
      </c>
      <c r="F457" s="34"/>
      <c r="J457" s="38" t="s">
        <v>758</v>
      </c>
      <c r="K457" s="182"/>
    </row>
    <row r="458" s="1" customFormat="1" ht="18" customHeight="1" spans="1:11">
      <c r="A458" s="183">
        <v>46292</v>
      </c>
      <c r="B458" s="174" t="s">
        <v>28</v>
      </c>
      <c r="C458" s="174" t="s">
        <v>41</v>
      </c>
      <c r="D458" s="143" t="s">
        <v>118</v>
      </c>
      <c r="E458" s="175">
        <v>19.2</v>
      </c>
      <c r="F458" s="34"/>
      <c r="J458" s="38" t="s">
        <v>759</v>
      </c>
      <c r="K458" s="182"/>
    </row>
    <row r="459" s="1" customFormat="1" ht="18" customHeight="1" spans="1:11">
      <c r="A459" s="174">
        <v>46292</v>
      </c>
      <c r="B459" s="174" t="s">
        <v>165</v>
      </c>
      <c r="C459" s="174" t="s">
        <v>45</v>
      </c>
      <c r="D459" s="174" t="s">
        <v>264</v>
      </c>
      <c r="E459" s="175">
        <v>15.36</v>
      </c>
      <c r="F459" s="176"/>
      <c r="G459" s="24"/>
      <c r="H459" s="162"/>
      <c r="I459" s="180"/>
      <c r="J459" s="181" t="s">
        <v>760</v>
      </c>
      <c r="K459" s="182"/>
    </row>
    <row r="460" s="1" customFormat="1" ht="18" customHeight="1" spans="1:11">
      <c r="A460" s="174">
        <v>46293</v>
      </c>
      <c r="B460" s="174" t="s">
        <v>43</v>
      </c>
      <c r="C460" s="174" t="s">
        <v>47</v>
      </c>
      <c r="D460" s="174" t="s">
        <v>125</v>
      </c>
      <c r="E460" s="175">
        <v>6</v>
      </c>
      <c r="F460" s="176"/>
      <c r="G460" s="24"/>
      <c r="H460" s="162"/>
      <c r="I460" s="180"/>
      <c r="J460" s="181" t="s">
        <v>761</v>
      </c>
      <c r="K460" s="182"/>
    </row>
    <row r="461" s="1" customFormat="1" ht="18" customHeight="1" spans="1:11">
      <c r="A461" s="174">
        <v>46293</v>
      </c>
      <c r="B461" s="174" t="s">
        <v>96</v>
      </c>
      <c r="C461" s="174" t="s">
        <v>35</v>
      </c>
      <c r="D461" s="174" t="s">
        <v>128</v>
      </c>
      <c r="E461" s="175">
        <v>15</v>
      </c>
      <c r="F461" s="176"/>
      <c r="G461" s="24"/>
      <c r="H461" s="162"/>
      <c r="I461" s="180"/>
      <c r="J461" s="181" t="s">
        <v>762</v>
      </c>
      <c r="K461" s="182"/>
    </row>
    <row r="462" s="1" customFormat="1" ht="18" customHeight="1" spans="1:11">
      <c r="A462" s="174">
        <v>46293</v>
      </c>
      <c r="B462" s="174" t="s">
        <v>96</v>
      </c>
      <c r="C462" s="174" t="s">
        <v>45</v>
      </c>
      <c r="D462" s="174" t="s">
        <v>128</v>
      </c>
      <c r="E462" s="175">
        <v>3.75</v>
      </c>
      <c r="F462" s="176"/>
      <c r="G462" s="24"/>
      <c r="H462" s="162"/>
      <c r="I462" s="180"/>
      <c r="J462" s="181"/>
      <c r="K462" s="182"/>
    </row>
    <row r="463" s="1" customFormat="1" ht="18" customHeight="1" spans="1:11">
      <c r="A463" s="174">
        <v>46293</v>
      </c>
      <c r="B463" s="174" t="s">
        <v>96</v>
      </c>
      <c r="C463" s="174" t="s">
        <v>121</v>
      </c>
      <c r="D463" s="174" t="s">
        <v>120</v>
      </c>
      <c r="E463" s="175">
        <v>12</v>
      </c>
      <c r="F463" s="176"/>
      <c r="G463" s="24"/>
      <c r="H463" s="162"/>
      <c r="I463" s="180"/>
      <c r="J463" s="181" t="s">
        <v>763</v>
      </c>
      <c r="K463" s="182"/>
    </row>
    <row r="464" s="1" customFormat="1" ht="18" customHeight="1" spans="1:11">
      <c r="A464" s="174">
        <v>46294</v>
      </c>
      <c r="B464" s="174" t="s">
        <v>165</v>
      </c>
      <c r="C464" s="174" t="s">
        <v>30</v>
      </c>
      <c r="D464" s="174" t="s">
        <v>271</v>
      </c>
      <c r="E464" s="175">
        <v>17.92</v>
      </c>
      <c r="F464" s="176"/>
      <c r="G464" s="24"/>
      <c r="H464" s="162"/>
      <c r="I464" s="180"/>
      <c r="J464" s="181" t="s">
        <v>764</v>
      </c>
      <c r="K464" s="182"/>
    </row>
    <row r="465" s="1" customFormat="1" ht="18" customHeight="1" spans="1:11">
      <c r="A465" s="174">
        <v>46294</v>
      </c>
      <c r="B465" s="174" t="s">
        <v>165</v>
      </c>
      <c r="C465" s="174" t="s">
        <v>30</v>
      </c>
      <c r="D465" s="174" t="s">
        <v>271</v>
      </c>
      <c r="E465" s="175">
        <v>17.92</v>
      </c>
      <c r="F465" s="176"/>
      <c r="G465" s="24"/>
      <c r="H465" s="162"/>
      <c r="I465" s="180"/>
      <c r="J465" s="181" t="s">
        <v>765</v>
      </c>
      <c r="K465" s="182"/>
    </row>
    <row r="466" s="1" customFormat="1" ht="18" customHeight="1" spans="1:11">
      <c r="A466" s="183">
        <v>46295</v>
      </c>
      <c r="B466" s="174" t="s">
        <v>165</v>
      </c>
      <c r="C466" s="174" t="s">
        <v>41</v>
      </c>
      <c r="D466" s="143" t="s">
        <v>271</v>
      </c>
      <c r="E466" s="175">
        <v>19.2</v>
      </c>
      <c r="F466" s="34"/>
      <c r="J466" s="38" t="s">
        <v>730</v>
      </c>
      <c r="K466" s="182"/>
    </row>
    <row r="467" s="1" customFormat="1" ht="18" customHeight="1" spans="1:11">
      <c r="A467" s="183">
        <v>46295</v>
      </c>
      <c r="B467" s="174" t="s">
        <v>165</v>
      </c>
      <c r="C467" s="174" t="s">
        <v>41</v>
      </c>
      <c r="D467" s="143" t="s">
        <v>271</v>
      </c>
      <c r="E467" s="175">
        <v>19.2</v>
      </c>
      <c r="F467" s="34"/>
      <c r="J467" s="38" t="s">
        <v>766</v>
      </c>
      <c r="K467" s="182"/>
    </row>
    <row r="468" s="1" customFormat="1" ht="18" customHeight="1" spans="1:11">
      <c r="A468" s="183">
        <v>46295</v>
      </c>
      <c r="B468" s="174" t="s">
        <v>165</v>
      </c>
      <c r="C468" s="174" t="s">
        <v>41</v>
      </c>
      <c r="D468" s="143" t="s">
        <v>271</v>
      </c>
      <c r="E468" s="175">
        <v>19.2</v>
      </c>
      <c r="F468" s="34"/>
      <c r="J468" s="38" t="s">
        <v>767</v>
      </c>
      <c r="K468" s="182"/>
    </row>
    <row r="469" s="1" customFormat="1" ht="18" customHeight="1" spans="1:11">
      <c r="A469" s="183">
        <v>46295</v>
      </c>
      <c r="B469" s="174" t="s">
        <v>165</v>
      </c>
      <c r="C469" s="174" t="s">
        <v>41</v>
      </c>
      <c r="D469" s="143" t="s">
        <v>271</v>
      </c>
      <c r="E469" s="175">
        <v>19.2</v>
      </c>
      <c r="F469" s="34"/>
      <c r="J469" s="38" t="s">
        <v>729</v>
      </c>
      <c r="K469" s="182"/>
    </row>
    <row r="470" s="1" customFormat="1" ht="18" customHeight="1" spans="1:11">
      <c r="A470" s="183">
        <v>46295</v>
      </c>
      <c r="B470" s="174" t="s">
        <v>165</v>
      </c>
      <c r="C470" s="174" t="s">
        <v>30</v>
      </c>
      <c r="D470" s="143" t="s">
        <v>271</v>
      </c>
      <c r="E470" s="175">
        <v>17.92</v>
      </c>
      <c r="F470" s="34"/>
      <c r="J470" s="38" t="s">
        <v>729</v>
      </c>
      <c r="K470" s="182"/>
    </row>
    <row r="471" s="1" customFormat="1" ht="18" customHeight="1" spans="1:11">
      <c r="A471" s="183">
        <v>46295</v>
      </c>
      <c r="B471" s="174" t="s">
        <v>165</v>
      </c>
      <c r="C471" s="174" t="s">
        <v>30</v>
      </c>
      <c r="D471" s="143" t="s">
        <v>271</v>
      </c>
      <c r="E471" s="175">
        <v>17.92</v>
      </c>
      <c r="F471" s="34"/>
      <c r="J471" s="38" t="s">
        <v>768</v>
      </c>
      <c r="K471" s="182"/>
    </row>
    <row r="472" s="1" customFormat="1" ht="18" customHeight="1" spans="1:11">
      <c r="A472" s="183">
        <v>46295</v>
      </c>
      <c r="B472" s="174" t="s">
        <v>165</v>
      </c>
      <c r="C472" s="174" t="s">
        <v>30</v>
      </c>
      <c r="D472" s="143" t="s">
        <v>271</v>
      </c>
      <c r="E472" s="175">
        <v>17.92</v>
      </c>
      <c r="F472" s="34"/>
      <c r="J472" s="38" t="s">
        <v>769</v>
      </c>
      <c r="K472" s="182"/>
    </row>
    <row r="473" s="1" customFormat="1" ht="18" customHeight="1" spans="1:11">
      <c r="A473" s="183">
        <v>46295</v>
      </c>
      <c r="B473" s="174" t="s">
        <v>165</v>
      </c>
      <c r="C473" s="174" t="s">
        <v>30</v>
      </c>
      <c r="D473" s="143" t="s">
        <v>271</v>
      </c>
      <c r="E473" s="175">
        <v>17.92</v>
      </c>
      <c r="F473" s="34"/>
      <c r="J473" s="38" t="s">
        <v>770</v>
      </c>
      <c r="K473" s="182"/>
    </row>
    <row r="474" s="1" customFormat="1" ht="18" customHeight="1" spans="1:11">
      <c r="A474" s="183">
        <v>46295</v>
      </c>
      <c r="B474" s="174" t="s">
        <v>165</v>
      </c>
      <c r="C474" s="174" t="s">
        <v>30</v>
      </c>
      <c r="D474" s="143" t="s">
        <v>271</v>
      </c>
      <c r="E474" s="175">
        <v>17.92</v>
      </c>
      <c r="F474" s="34"/>
      <c r="J474" s="38" t="s">
        <v>745</v>
      </c>
      <c r="K474" s="182"/>
    </row>
    <row r="475" s="1" customFormat="1" ht="18" customHeight="1" spans="1:11">
      <c r="A475" s="183">
        <v>46295</v>
      </c>
      <c r="B475" s="174" t="s">
        <v>165</v>
      </c>
      <c r="C475" s="174" t="s">
        <v>41</v>
      </c>
      <c r="D475" s="143" t="s">
        <v>271</v>
      </c>
      <c r="E475" s="175">
        <v>19.2</v>
      </c>
      <c r="F475" s="34"/>
      <c r="J475" s="38" t="s">
        <v>771</v>
      </c>
      <c r="K475" s="182"/>
    </row>
    <row r="476" s="1" customFormat="1" ht="18" customHeight="1" spans="1:11">
      <c r="A476" s="183">
        <v>46295</v>
      </c>
      <c r="B476" s="174" t="s">
        <v>165</v>
      </c>
      <c r="C476" s="174" t="s">
        <v>41</v>
      </c>
      <c r="D476" s="143" t="s">
        <v>271</v>
      </c>
      <c r="E476" s="175">
        <v>19.2</v>
      </c>
      <c r="F476" s="34"/>
      <c r="J476" s="38" t="s">
        <v>772</v>
      </c>
      <c r="K476" s="182"/>
    </row>
    <row r="477" s="1" customFormat="1" ht="18" customHeight="1" spans="1:11">
      <c r="A477" s="174">
        <v>46295</v>
      </c>
      <c r="B477" s="174" t="s">
        <v>28</v>
      </c>
      <c r="C477" s="174" t="s">
        <v>41</v>
      </c>
      <c r="D477" s="174" t="s">
        <v>118</v>
      </c>
      <c r="E477" s="175">
        <v>19.2</v>
      </c>
      <c r="F477" s="176"/>
      <c r="G477" s="24"/>
      <c r="H477" s="162"/>
      <c r="I477" s="180"/>
      <c r="J477" s="181" t="s">
        <v>773</v>
      </c>
      <c r="K477" s="182"/>
    </row>
    <row r="478" s="1" customFormat="1" ht="18" customHeight="1" spans="1:11">
      <c r="A478" s="174">
        <v>46295</v>
      </c>
      <c r="B478" s="174" t="s">
        <v>28</v>
      </c>
      <c r="C478" s="174" t="s">
        <v>41</v>
      </c>
      <c r="D478" s="174" t="s">
        <v>118</v>
      </c>
      <c r="E478" s="175">
        <v>19.2</v>
      </c>
      <c r="F478" s="176"/>
      <c r="G478" s="24"/>
      <c r="H478" s="162"/>
      <c r="I478" s="180"/>
      <c r="J478" s="181" t="s">
        <v>774</v>
      </c>
      <c r="K478" s="182"/>
    </row>
    <row r="479" s="1" customFormat="1" ht="18" customHeight="1" spans="1:11">
      <c r="A479" s="174">
        <v>46295</v>
      </c>
      <c r="B479" s="174" t="s">
        <v>165</v>
      </c>
      <c r="C479" s="174" t="s">
        <v>30</v>
      </c>
      <c r="D479" s="174" t="s">
        <v>271</v>
      </c>
      <c r="E479" s="175">
        <v>17.92</v>
      </c>
      <c r="F479" s="176"/>
      <c r="G479" s="24"/>
      <c r="H479" s="162"/>
      <c r="I479" s="180"/>
      <c r="J479" s="181" t="s">
        <v>775</v>
      </c>
      <c r="K479" s="182"/>
    </row>
    <row r="480" s="1" customFormat="1" ht="18" customHeight="1" spans="1:11">
      <c r="A480" s="174">
        <v>46296</v>
      </c>
      <c r="B480" s="174" t="s">
        <v>165</v>
      </c>
      <c r="C480" s="174" t="s">
        <v>41</v>
      </c>
      <c r="D480" s="174" t="s">
        <v>271</v>
      </c>
      <c r="E480" s="175">
        <v>19.2</v>
      </c>
      <c r="F480" s="176"/>
      <c r="G480" s="24"/>
      <c r="H480" s="162"/>
      <c r="I480" s="180"/>
      <c r="J480" s="181" t="s">
        <v>729</v>
      </c>
      <c r="K480" s="182"/>
    </row>
    <row r="481" s="1" customFormat="1" ht="18" customHeight="1" spans="1:11">
      <c r="A481" s="174">
        <v>46303</v>
      </c>
      <c r="B481" s="174" t="s">
        <v>96</v>
      </c>
      <c r="C481" s="174" t="s">
        <v>41</v>
      </c>
      <c r="D481" s="174" t="s">
        <v>115</v>
      </c>
      <c r="E481" s="175">
        <v>32</v>
      </c>
      <c r="F481" s="176"/>
      <c r="G481" s="24"/>
      <c r="H481" s="162"/>
      <c r="I481" s="180"/>
      <c r="J481" s="181" t="s">
        <v>776</v>
      </c>
      <c r="K481" s="182"/>
    </row>
    <row r="482" s="1" customFormat="1" ht="18" customHeight="1" spans="1:11">
      <c r="A482" s="174">
        <v>46304</v>
      </c>
      <c r="B482" s="174" t="s">
        <v>96</v>
      </c>
      <c r="C482" s="174" t="s">
        <v>41</v>
      </c>
      <c r="D482" s="174" t="s">
        <v>115</v>
      </c>
      <c r="E482" s="175">
        <v>32</v>
      </c>
      <c r="F482" s="176"/>
      <c r="G482" s="24"/>
      <c r="H482" s="162"/>
      <c r="I482" s="180"/>
      <c r="J482" s="181" t="s">
        <v>777</v>
      </c>
      <c r="K482" s="182"/>
    </row>
    <row r="483" s="1" customFormat="1" ht="18" customHeight="1" spans="1:11">
      <c r="A483" s="174">
        <v>46305</v>
      </c>
      <c r="B483" s="174" t="s">
        <v>96</v>
      </c>
      <c r="C483" s="174" t="s">
        <v>35</v>
      </c>
      <c r="D483" s="174" t="s">
        <v>113</v>
      </c>
      <c r="E483" s="175">
        <v>5.01</v>
      </c>
      <c r="F483" s="176"/>
      <c r="G483" s="24"/>
      <c r="H483" s="162"/>
      <c r="I483" s="180"/>
      <c r="J483" s="181" t="s">
        <v>778</v>
      </c>
      <c r="K483" s="182"/>
    </row>
    <row r="484" s="1" customFormat="1" ht="18" customHeight="1" spans="1:11">
      <c r="A484" s="174">
        <v>46305</v>
      </c>
      <c r="B484" s="174" t="s">
        <v>96</v>
      </c>
      <c r="C484" s="174" t="s">
        <v>41</v>
      </c>
      <c r="D484" s="174" t="s">
        <v>115</v>
      </c>
      <c r="E484" s="175">
        <v>32</v>
      </c>
      <c r="F484" s="176"/>
      <c r="G484" s="24"/>
      <c r="H484" s="162"/>
      <c r="I484" s="180"/>
      <c r="J484" s="181" t="s">
        <v>779</v>
      </c>
      <c r="K484" s="182"/>
    </row>
    <row r="485" s="1" customFormat="1" ht="18" customHeight="1" spans="1:11">
      <c r="A485" s="174">
        <v>46305</v>
      </c>
      <c r="B485" s="174" t="s">
        <v>96</v>
      </c>
      <c r="C485" s="174" t="s">
        <v>41</v>
      </c>
      <c r="D485" s="174" t="s">
        <v>115</v>
      </c>
      <c r="E485" s="175">
        <v>32</v>
      </c>
      <c r="F485" s="176"/>
      <c r="G485" s="24"/>
      <c r="H485" s="162"/>
      <c r="I485" s="180"/>
      <c r="J485" s="181" t="s">
        <v>776</v>
      </c>
      <c r="K485" s="182"/>
    </row>
    <row r="486" s="1" customFormat="1" ht="18" customHeight="1" spans="1:11">
      <c r="A486" s="174">
        <v>46305</v>
      </c>
      <c r="B486" s="174" t="s">
        <v>43</v>
      </c>
      <c r="C486" s="174" t="s">
        <v>47</v>
      </c>
      <c r="D486" s="174" t="s">
        <v>130</v>
      </c>
      <c r="E486" s="175">
        <v>4.5</v>
      </c>
      <c r="F486" s="176"/>
      <c r="G486" s="24"/>
      <c r="H486" s="162"/>
      <c r="I486" s="180"/>
      <c r="J486" s="181" t="s">
        <v>780</v>
      </c>
      <c r="K486" s="182"/>
    </row>
    <row r="487" s="1" customFormat="1" ht="18" customHeight="1" spans="1:11">
      <c r="A487" s="174">
        <v>46306</v>
      </c>
      <c r="B487" s="174" t="s">
        <v>96</v>
      </c>
      <c r="C487" s="174" t="s">
        <v>41</v>
      </c>
      <c r="D487" s="174" t="s">
        <v>115</v>
      </c>
      <c r="E487" s="175">
        <v>32</v>
      </c>
      <c r="F487" s="176"/>
      <c r="G487" s="24"/>
      <c r="H487" s="162"/>
      <c r="I487" s="180"/>
      <c r="J487" s="181" t="s">
        <v>781</v>
      </c>
      <c r="K487" s="182"/>
    </row>
    <row r="488" s="1" customFormat="1" ht="18" customHeight="1" spans="1:11">
      <c r="A488" s="174">
        <v>46306</v>
      </c>
      <c r="B488" s="174" t="s">
        <v>96</v>
      </c>
      <c r="C488" s="174" t="s">
        <v>41</v>
      </c>
      <c r="D488" s="174" t="s">
        <v>115</v>
      </c>
      <c r="E488" s="175">
        <v>30</v>
      </c>
      <c r="F488" s="176"/>
      <c r="G488" s="24"/>
      <c r="H488" s="162"/>
      <c r="I488" s="180"/>
      <c r="J488" s="181" t="s">
        <v>782</v>
      </c>
      <c r="K488" s="182"/>
    </row>
    <row r="489" s="1" customFormat="1" ht="18" customHeight="1" spans="1:11">
      <c r="A489" s="174">
        <v>46307</v>
      </c>
      <c r="B489" s="174" t="s">
        <v>96</v>
      </c>
      <c r="C489" s="174" t="s">
        <v>41</v>
      </c>
      <c r="D489" s="174" t="s">
        <v>115</v>
      </c>
      <c r="E489" s="175">
        <v>30</v>
      </c>
      <c r="F489" s="176"/>
      <c r="G489" s="24"/>
      <c r="H489" s="162"/>
      <c r="I489" s="180"/>
      <c r="J489" s="181" t="s">
        <v>783</v>
      </c>
      <c r="K489" s="182"/>
    </row>
    <row r="490" s="1" customFormat="1" ht="18" customHeight="1" spans="1:11">
      <c r="A490" s="174">
        <v>46307</v>
      </c>
      <c r="B490" s="174" t="s">
        <v>96</v>
      </c>
      <c r="C490" s="174" t="s">
        <v>41</v>
      </c>
      <c r="D490" s="174" t="s">
        <v>115</v>
      </c>
      <c r="E490" s="175">
        <v>30</v>
      </c>
      <c r="F490" s="176"/>
      <c r="G490" s="24"/>
      <c r="H490" s="162"/>
      <c r="I490" s="180"/>
      <c r="J490" s="181" t="s">
        <v>784</v>
      </c>
      <c r="K490" s="182"/>
    </row>
    <row r="491" s="1" customFormat="1" ht="18" customHeight="1" spans="1:11">
      <c r="A491" s="174">
        <v>46308</v>
      </c>
      <c r="B491" s="174" t="s">
        <v>464</v>
      </c>
      <c r="C491" s="174" t="s">
        <v>35</v>
      </c>
      <c r="D491" s="174" t="s">
        <v>270</v>
      </c>
      <c r="E491" s="175">
        <v>16.32</v>
      </c>
      <c r="F491" s="176"/>
      <c r="G491" s="24"/>
      <c r="H491" s="162"/>
      <c r="I491" s="180"/>
      <c r="J491" s="181" t="s">
        <v>785</v>
      </c>
      <c r="K491" s="182"/>
    </row>
    <row r="492" s="1" customFormat="1" ht="18" customHeight="1" spans="1:11">
      <c r="A492" s="174">
        <v>46308</v>
      </c>
      <c r="B492" s="174" t="s">
        <v>274</v>
      </c>
      <c r="C492" s="174" t="s">
        <v>35</v>
      </c>
      <c r="D492" s="174" t="s">
        <v>275</v>
      </c>
      <c r="E492" s="175">
        <v>16.32</v>
      </c>
      <c r="F492" s="176"/>
      <c r="G492" s="24"/>
      <c r="H492" s="162"/>
      <c r="I492" s="180"/>
      <c r="J492" s="181" t="s">
        <v>786</v>
      </c>
      <c r="K492" s="182"/>
    </row>
    <row r="493" s="1" customFormat="1" ht="18" customHeight="1" spans="1:11">
      <c r="A493" s="174">
        <v>46309</v>
      </c>
      <c r="B493" s="174" t="s">
        <v>43</v>
      </c>
      <c r="C493" s="174" t="s">
        <v>47</v>
      </c>
      <c r="D493" s="174" t="s">
        <v>133</v>
      </c>
      <c r="E493" s="175">
        <v>4.5</v>
      </c>
      <c r="F493" s="176"/>
      <c r="G493" s="24"/>
      <c r="H493" s="162"/>
      <c r="I493" s="180"/>
      <c r="J493" s="181" t="s">
        <v>787</v>
      </c>
      <c r="K493" s="182"/>
    </row>
    <row r="494" s="1" customFormat="1" ht="18" customHeight="1" spans="1:11">
      <c r="A494" s="174">
        <v>46312</v>
      </c>
      <c r="B494" s="174" t="s">
        <v>33</v>
      </c>
      <c r="C494" s="174" t="s">
        <v>41</v>
      </c>
      <c r="D494" s="174" t="s">
        <v>116</v>
      </c>
      <c r="E494" s="175">
        <v>20.48</v>
      </c>
      <c r="F494" s="176"/>
      <c r="G494" s="24"/>
      <c r="H494" s="162"/>
      <c r="I494" s="180"/>
      <c r="J494" s="181" t="s">
        <v>788</v>
      </c>
      <c r="K494" s="182"/>
    </row>
    <row r="495" s="1" customFormat="1" ht="18" customHeight="1" spans="1:11">
      <c r="A495" s="174">
        <v>46312</v>
      </c>
      <c r="B495" s="174" t="s">
        <v>33</v>
      </c>
      <c r="C495" s="174" t="s">
        <v>41</v>
      </c>
      <c r="D495" s="174" t="s">
        <v>116</v>
      </c>
      <c r="E495" s="175">
        <v>20.48</v>
      </c>
      <c r="F495" s="176"/>
      <c r="G495" s="24"/>
      <c r="H495" s="162"/>
      <c r="I495" s="180"/>
      <c r="J495" s="181" t="s">
        <v>789</v>
      </c>
      <c r="K495" s="182"/>
    </row>
    <row r="496" s="1" customFormat="1" ht="18" customHeight="1" spans="1:11">
      <c r="A496" s="174">
        <v>46312</v>
      </c>
      <c r="B496" s="174" t="s">
        <v>33</v>
      </c>
      <c r="C496" s="174" t="s">
        <v>41</v>
      </c>
      <c r="D496" s="174" t="s">
        <v>116</v>
      </c>
      <c r="E496" s="175">
        <v>20.48</v>
      </c>
      <c r="F496" s="176"/>
      <c r="G496" s="24"/>
      <c r="H496" s="162"/>
      <c r="I496" s="180"/>
      <c r="J496" s="181" t="s">
        <v>790</v>
      </c>
      <c r="K496" s="182"/>
    </row>
    <row r="497" s="1" customFormat="1" ht="18" customHeight="1" spans="1:11">
      <c r="A497" s="174">
        <v>46313</v>
      </c>
      <c r="B497" s="174" t="s">
        <v>33</v>
      </c>
      <c r="C497" s="174" t="s">
        <v>41</v>
      </c>
      <c r="D497" s="174" t="s">
        <v>116</v>
      </c>
      <c r="E497" s="175">
        <v>20.48</v>
      </c>
      <c r="F497" s="176"/>
      <c r="G497" s="24"/>
      <c r="H497" s="162"/>
      <c r="I497" s="180"/>
      <c r="J497" s="181" t="s">
        <v>791</v>
      </c>
      <c r="K497" s="182"/>
    </row>
    <row r="498" s="1" customFormat="1" ht="18" customHeight="1" spans="1:11">
      <c r="A498" s="174">
        <v>46313</v>
      </c>
      <c r="B498" s="174" t="s">
        <v>33</v>
      </c>
      <c r="C498" s="174" t="s">
        <v>41</v>
      </c>
      <c r="D498" s="174" t="s">
        <v>116</v>
      </c>
      <c r="E498" s="175">
        <v>20.48</v>
      </c>
      <c r="F498" s="176"/>
      <c r="G498" s="24"/>
      <c r="H498" s="162"/>
      <c r="I498" s="180"/>
      <c r="J498" s="181" t="s">
        <v>792</v>
      </c>
      <c r="K498" s="182"/>
    </row>
    <row r="499" s="1" customFormat="1" ht="18" customHeight="1" spans="1:11">
      <c r="A499" s="174">
        <v>46313</v>
      </c>
      <c r="B499" s="174" t="s">
        <v>33</v>
      </c>
      <c r="C499" s="174" t="s">
        <v>41</v>
      </c>
      <c r="D499" s="174" t="s">
        <v>116</v>
      </c>
      <c r="E499" s="175">
        <v>20.48</v>
      </c>
      <c r="F499" s="176"/>
      <c r="G499" s="24"/>
      <c r="H499" s="162"/>
      <c r="I499" s="180"/>
      <c r="J499" s="181" t="s">
        <v>793</v>
      </c>
      <c r="K499" s="182"/>
    </row>
    <row r="500" s="1" customFormat="1" ht="18" customHeight="1" spans="1:11">
      <c r="A500" s="174">
        <v>46314</v>
      </c>
      <c r="B500" s="174" t="s">
        <v>33</v>
      </c>
      <c r="C500" s="174" t="s">
        <v>41</v>
      </c>
      <c r="D500" s="174" t="s">
        <v>116</v>
      </c>
      <c r="E500" s="175">
        <v>20.48</v>
      </c>
      <c r="F500" s="176"/>
      <c r="G500" s="24"/>
      <c r="H500" s="162"/>
      <c r="I500" s="180"/>
      <c r="J500" s="181" t="s">
        <v>794</v>
      </c>
      <c r="K500" s="182"/>
    </row>
    <row r="501" s="1" customFormat="1" ht="18" customHeight="1" spans="1:11">
      <c r="A501" s="174">
        <v>46314</v>
      </c>
      <c r="B501" s="174" t="s">
        <v>33</v>
      </c>
      <c r="C501" s="174" t="s">
        <v>41</v>
      </c>
      <c r="D501" s="174" t="s">
        <v>116</v>
      </c>
      <c r="E501" s="175">
        <v>20.48</v>
      </c>
      <c r="F501" s="176"/>
      <c r="G501" s="24"/>
      <c r="H501" s="162"/>
      <c r="I501" s="180"/>
      <c r="J501" s="181" t="s">
        <v>795</v>
      </c>
      <c r="K501" s="182"/>
    </row>
    <row r="502" s="1" customFormat="1" ht="18" customHeight="1" spans="1:11">
      <c r="A502" s="174">
        <v>46314</v>
      </c>
      <c r="B502" s="174" t="s">
        <v>33</v>
      </c>
      <c r="C502" s="174" t="s">
        <v>41</v>
      </c>
      <c r="D502" s="174" t="s">
        <v>116</v>
      </c>
      <c r="E502" s="175">
        <v>20.48</v>
      </c>
      <c r="F502" s="176"/>
      <c r="G502" s="24"/>
      <c r="H502" s="162"/>
      <c r="I502" s="180"/>
      <c r="J502" s="181" t="s">
        <v>796</v>
      </c>
      <c r="K502" s="182"/>
    </row>
    <row r="503" s="1" customFormat="1" ht="17" customHeight="1" spans="1:11">
      <c r="A503" s="174">
        <v>46314</v>
      </c>
      <c r="B503" s="174" t="s">
        <v>33</v>
      </c>
      <c r="C503" s="174" t="s">
        <v>41</v>
      </c>
      <c r="D503" s="174" t="s">
        <v>116</v>
      </c>
      <c r="E503" s="175">
        <v>20.48</v>
      </c>
      <c r="F503" s="176"/>
      <c r="G503" s="24"/>
      <c r="H503" s="162"/>
      <c r="I503" s="180"/>
      <c r="J503" s="181" t="s">
        <v>797</v>
      </c>
      <c r="K503" s="182"/>
    </row>
    <row r="504" s="1" customFormat="1" ht="18" customHeight="1" spans="1:11">
      <c r="A504" s="174">
        <v>46315</v>
      </c>
      <c r="B504" s="174" t="s">
        <v>43</v>
      </c>
      <c r="C504" s="174" t="s">
        <v>47</v>
      </c>
      <c r="D504" s="174" t="s">
        <v>134</v>
      </c>
      <c r="E504" s="175">
        <v>6</v>
      </c>
      <c r="F504" s="176"/>
      <c r="G504" s="24"/>
      <c r="H504" s="162"/>
      <c r="I504" s="180"/>
      <c r="J504" s="181" t="s">
        <v>798</v>
      </c>
      <c r="K504" s="182"/>
    </row>
    <row r="505" s="1" customFormat="1" ht="18" customHeight="1" spans="1:11">
      <c r="A505" s="174">
        <v>46316</v>
      </c>
      <c r="B505" s="174" t="s">
        <v>33</v>
      </c>
      <c r="C505" s="174" t="s">
        <v>30</v>
      </c>
      <c r="D505" s="174" t="s">
        <v>126</v>
      </c>
      <c r="E505" s="175">
        <v>18.8</v>
      </c>
      <c r="F505" s="176"/>
      <c r="G505" s="24"/>
      <c r="H505" s="162"/>
      <c r="I505" s="180"/>
      <c r="J505" s="181" t="s">
        <v>799</v>
      </c>
      <c r="K505" s="182"/>
    </row>
    <row r="506" s="1" customFormat="1" ht="18" customHeight="1" spans="1:11">
      <c r="A506" s="184">
        <v>46317</v>
      </c>
      <c r="B506" s="184" t="s">
        <v>188</v>
      </c>
      <c r="C506" s="184" t="s">
        <v>35</v>
      </c>
      <c r="D506" s="184" t="s">
        <v>276</v>
      </c>
      <c r="E506" s="185">
        <v>16.32</v>
      </c>
      <c r="F506" s="186"/>
      <c r="G506" s="56"/>
      <c r="H506" s="167"/>
      <c r="I506" s="188"/>
      <c r="J506" s="189" t="s">
        <v>800</v>
      </c>
      <c r="K506" s="190"/>
    </row>
    <row r="507" s="1" customFormat="1" ht="18" customHeight="1" spans="1:11">
      <c r="A507" s="184">
        <v>46317</v>
      </c>
      <c r="B507" s="184" t="s">
        <v>43</v>
      </c>
      <c r="C507" s="184" t="s">
        <v>47</v>
      </c>
      <c r="D507" s="187" t="s">
        <v>137</v>
      </c>
      <c r="E507" s="185">
        <v>4.5</v>
      </c>
      <c r="F507" s="186"/>
      <c r="G507" s="56"/>
      <c r="H507" s="167"/>
      <c r="I507" s="188"/>
      <c r="J507" s="189" t="s">
        <v>801</v>
      </c>
      <c r="K507" s="190"/>
    </row>
    <row r="508" s="1" customFormat="1" ht="18" customHeight="1" spans="1:11">
      <c r="A508" s="184">
        <v>46317</v>
      </c>
      <c r="B508" s="184" t="s">
        <v>43</v>
      </c>
      <c r="C508" s="184" t="s">
        <v>45</v>
      </c>
      <c r="D508" s="187" t="s">
        <v>137</v>
      </c>
      <c r="E508" s="185">
        <v>6</v>
      </c>
      <c r="F508" s="186"/>
      <c r="G508" s="56"/>
      <c r="H508" s="167"/>
      <c r="I508" s="188"/>
      <c r="J508" s="189"/>
      <c r="K508" s="190"/>
    </row>
  </sheetData>
  <autoFilter xmlns:etc="http://www.wps.cn/officeDocument/2017/etCustomData" ref="A1:K508" etc:filterBottomFollowUsedRange="0">
    <extLst/>
  </autoFilter>
  <mergeCells count="12">
    <mergeCell ref="J123:J124"/>
    <mergeCell ref="J175:J176"/>
    <mergeCell ref="J190:J191"/>
    <mergeCell ref="J235:J236"/>
    <mergeCell ref="J290:J291"/>
    <mergeCell ref="J379:J380"/>
    <mergeCell ref="J381:J382"/>
    <mergeCell ref="J400:J401"/>
    <mergeCell ref="J403:J404"/>
    <mergeCell ref="J412:J413"/>
    <mergeCell ref="J461:J462"/>
    <mergeCell ref="J507:J508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4"/>
  <sheetViews>
    <sheetView zoomScale="85" zoomScaleNormal="85" workbookViewId="0">
      <pane xSplit="7" ySplit="1" topLeftCell="H40" activePane="bottomRight" state="frozen"/>
      <selection/>
      <selection pane="topRight"/>
      <selection pane="bottomLeft"/>
      <selection pane="bottomRight" activeCell="J63" sqref="J63:K64"/>
    </sheetView>
  </sheetViews>
  <sheetFormatPr defaultColWidth="9" defaultRowHeight="13.5"/>
  <cols>
    <col min="1" max="1" width="7.10619469026549" customWidth="1"/>
    <col min="2" max="2" width="8.96460176991151" customWidth="1"/>
    <col min="3" max="3" width="20.0796460176991" customWidth="1"/>
    <col min="4" max="4" width="23.9203539823009" customWidth="1"/>
    <col min="5" max="5" width="10.8849557522124" customWidth="1"/>
    <col min="6" max="6" width="8.96460176991151" customWidth="1"/>
    <col min="7" max="7" width="7.10619469026549" customWidth="1"/>
    <col min="8" max="8" width="9.89380530973451" customWidth="1"/>
    <col min="9" max="9" width="12.1504424778761" customWidth="1"/>
    <col min="10" max="10" width="8.96460176991151" customWidth="1"/>
    <col min="11" max="11" width="7.10619469026549" customWidth="1"/>
    <col min="12" max="12" width="13.0176991150442" customWidth="1"/>
    <col min="13" max="16" width="12.4778761061947" customWidth="1"/>
    <col min="17" max="17" width="8.96460176991151" customWidth="1"/>
    <col min="18" max="19" width="10.7079646017699" customWidth="1"/>
    <col min="20" max="20" width="17.7964601769912" customWidth="1"/>
    <col min="21" max="21" width="15.141592920354" customWidth="1"/>
    <col min="22" max="22" width="8.96460176991151" customWidth="1"/>
    <col min="23" max="23" width="10.6548672566372" customWidth="1"/>
    <col min="24" max="24" width="10.8849557522124" customWidth="1"/>
    <col min="25" max="25" width="8.96460176991151" customWidth="1"/>
    <col min="26" max="27" width="10.8849557522124" customWidth="1"/>
    <col min="28" max="28" width="8.96460176991151" customWidth="1"/>
    <col min="29" max="29" width="7.10619469026549" customWidth="1"/>
    <col min="30" max="33" width="5.24778761061947" customWidth="1"/>
  </cols>
  <sheetData>
    <row r="1" s="136" customFormat="1" ht="18" customHeight="1" spans="1:33">
      <c r="A1" s="139" t="s">
        <v>0</v>
      </c>
      <c r="B1" s="139" t="s">
        <v>1</v>
      </c>
      <c r="C1" s="139" t="s">
        <v>3</v>
      </c>
      <c r="D1" s="140" t="s">
        <v>4</v>
      </c>
      <c r="E1" s="139" t="s">
        <v>5</v>
      </c>
      <c r="F1" s="139" t="s">
        <v>6</v>
      </c>
      <c r="G1" s="139" t="s">
        <v>7</v>
      </c>
      <c r="H1" s="141" t="s">
        <v>8</v>
      </c>
      <c r="I1" s="139" t="s">
        <v>9</v>
      </c>
      <c r="J1" s="144" t="s">
        <v>10</v>
      </c>
      <c r="K1" s="145" t="s">
        <v>11</v>
      </c>
      <c r="L1" s="144" t="s">
        <v>12</v>
      </c>
      <c r="M1" s="146" t="s">
        <v>13</v>
      </c>
      <c r="N1" s="146" t="s">
        <v>14</v>
      </c>
      <c r="O1" s="147" t="s">
        <v>802</v>
      </c>
      <c r="P1" s="148" t="s">
        <v>139</v>
      </c>
      <c r="Q1" s="147" t="s">
        <v>140</v>
      </c>
      <c r="R1" s="148" t="s">
        <v>803</v>
      </c>
      <c r="S1" s="148" t="s">
        <v>16</v>
      </c>
      <c r="T1" s="148" t="s">
        <v>17</v>
      </c>
      <c r="U1" s="154" t="s">
        <v>18</v>
      </c>
      <c r="V1" s="154" t="s">
        <v>141</v>
      </c>
      <c r="W1" s="155" t="s">
        <v>142</v>
      </c>
      <c r="X1" s="156" t="s">
        <v>143</v>
      </c>
      <c r="Y1" s="156" t="s">
        <v>144</v>
      </c>
      <c r="Z1" s="157" t="s">
        <v>145</v>
      </c>
      <c r="AA1" s="155" t="s">
        <v>146</v>
      </c>
      <c r="AB1" s="158" t="s">
        <v>147</v>
      </c>
      <c r="AC1" s="158" t="s">
        <v>20</v>
      </c>
      <c r="AD1" s="158" t="s">
        <v>21</v>
      </c>
      <c r="AE1" s="158" t="s">
        <v>22</v>
      </c>
      <c r="AF1" s="158" t="s">
        <v>23</v>
      </c>
      <c r="AG1" s="158" t="s">
        <v>24</v>
      </c>
    </row>
    <row r="2" s="137" customFormat="1" ht="13.85" spans="1:33">
      <c r="A2" s="66" t="s">
        <v>37</v>
      </c>
      <c r="B2" s="142" t="s">
        <v>183</v>
      </c>
      <c r="C2" s="137" t="s">
        <v>804</v>
      </c>
      <c r="D2" s="66" t="s">
        <v>805</v>
      </c>
      <c r="E2" s="68">
        <v>46081</v>
      </c>
      <c r="F2" s="66" t="s">
        <v>806</v>
      </c>
      <c r="G2" s="66">
        <v>478</v>
      </c>
      <c r="H2" s="69">
        <v>975</v>
      </c>
      <c r="I2" s="69">
        <f>G2*H2</f>
        <v>466050</v>
      </c>
      <c r="J2" s="66">
        <v>0</v>
      </c>
      <c r="K2" s="66">
        <f>G2-J2</f>
        <v>478</v>
      </c>
      <c r="L2" s="149">
        <v>0</v>
      </c>
      <c r="M2" s="69">
        <f>I2-L2</f>
        <v>466050</v>
      </c>
      <c r="N2" s="69">
        <f>J2*H2-L2</f>
        <v>0</v>
      </c>
      <c r="O2" s="69">
        <v>0</v>
      </c>
      <c r="P2" s="69">
        <f>O2*G2</f>
        <v>0</v>
      </c>
      <c r="Q2" s="66">
        <v>7.066</v>
      </c>
      <c r="R2" s="78">
        <v>5131</v>
      </c>
      <c r="S2" s="78">
        <v>7701</v>
      </c>
      <c r="T2" s="78">
        <f>R2*G2</f>
        <v>2452618</v>
      </c>
      <c r="U2" s="67" t="s">
        <v>807</v>
      </c>
      <c r="V2" s="66" t="s">
        <v>155</v>
      </c>
      <c r="W2" s="137" t="s">
        <v>808</v>
      </c>
      <c r="X2" s="69">
        <v>1000</v>
      </c>
      <c r="Y2" s="69">
        <v>0</v>
      </c>
      <c r="Z2" s="78">
        <v>3500</v>
      </c>
      <c r="AA2" s="66"/>
      <c r="AB2" s="66"/>
      <c r="AC2" s="66"/>
      <c r="AD2" s="66"/>
      <c r="AE2" s="66"/>
      <c r="AF2" s="66"/>
      <c r="AG2" s="66"/>
    </row>
    <row r="3" s="137" customFormat="1" ht="13.85" spans="1:33">
      <c r="A3" s="66" t="s">
        <v>25</v>
      </c>
      <c r="B3" s="142" t="s">
        <v>809</v>
      </c>
      <c r="C3" s="137" t="s">
        <v>810</v>
      </c>
      <c r="D3" s="66" t="s">
        <v>811</v>
      </c>
      <c r="E3" s="68">
        <v>46144</v>
      </c>
      <c r="F3" s="66" t="s">
        <v>812</v>
      </c>
      <c r="G3" s="66">
        <v>82.5</v>
      </c>
      <c r="H3" s="69">
        <v>1400</v>
      </c>
      <c r="I3" s="69">
        <f>G3*H3</f>
        <v>115500</v>
      </c>
      <c r="J3" s="66">
        <v>0</v>
      </c>
      <c r="K3" s="66">
        <f>G3-J3</f>
        <v>82.5</v>
      </c>
      <c r="L3" s="149">
        <v>0</v>
      </c>
      <c r="M3" s="69">
        <f>I3-L3</f>
        <v>115500</v>
      </c>
      <c r="N3" s="69">
        <f>J3*H3-L3</f>
        <v>0</v>
      </c>
      <c r="O3" s="69">
        <v>5</v>
      </c>
      <c r="P3" s="69">
        <f>O3*G3</f>
        <v>412.5</v>
      </c>
      <c r="Q3" s="66">
        <v>6.8624</v>
      </c>
      <c r="R3" s="78">
        <v>10233</v>
      </c>
      <c r="S3" s="78" t="s">
        <v>813</v>
      </c>
      <c r="T3" s="78">
        <f>R3*G3</f>
        <v>844222.5</v>
      </c>
      <c r="U3" s="67" t="s">
        <v>814</v>
      </c>
      <c r="V3" s="66" t="s">
        <v>155</v>
      </c>
      <c r="W3" s="137" t="s">
        <v>815</v>
      </c>
      <c r="X3" s="69">
        <f>1400*3</f>
        <v>4200</v>
      </c>
      <c r="Y3" s="69">
        <f>43*3</f>
        <v>129</v>
      </c>
      <c r="Z3" s="78">
        <f>5000*3</f>
        <v>15000</v>
      </c>
      <c r="AA3" s="66"/>
      <c r="AB3" s="66"/>
      <c r="AC3" s="66"/>
      <c r="AD3" s="66"/>
      <c r="AE3" s="66"/>
      <c r="AF3" s="66"/>
      <c r="AG3" s="66"/>
    </row>
    <row r="4" s="23" customFormat="1" ht="13.85" spans="1:33">
      <c r="A4" s="24" t="s">
        <v>150</v>
      </c>
      <c r="B4" s="143" t="s">
        <v>183</v>
      </c>
      <c r="C4" s="23" t="s">
        <v>816</v>
      </c>
      <c r="D4" s="24" t="s">
        <v>817</v>
      </c>
      <c r="E4" s="71">
        <v>46072</v>
      </c>
      <c r="F4" s="24" t="s">
        <v>818</v>
      </c>
      <c r="G4" s="24">
        <v>5</v>
      </c>
      <c r="H4" s="72">
        <v>1035</v>
      </c>
      <c r="I4" s="72">
        <f>G4*H4</f>
        <v>5175</v>
      </c>
      <c r="J4" s="24">
        <v>5</v>
      </c>
      <c r="K4" s="24">
        <f t="shared" ref="K4:K19" si="0">G4-J4</f>
        <v>0</v>
      </c>
      <c r="L4" s="150">
        <f>生物收款!E2</f>
        <v>5175</v>
      </c>
      <c r="M4" s="72">
        <f>I4-L4</f>
        <v>0</v>
      </c>
      <c r="N4" s="72">
        <f>J4*H4-L4</f>
        <v>0</v>
      </c>
      <c r="O4" s="72">
        <v>0</v>
      </c>
      <c r="P4" s="72">
        <f>O4*G4</f>
        <v>0</v>
      </c>
      <c r="Q4" s="24">
        <v>6.96</v>
      </c>
      <c r="R4" s="73">
        <v>7704</v>
      </c>
      <c r="S4" s="73">
        <v>7700</v>
      </c>
      <c r="T4" s="73">
        <f>R4*G4</f>
        <v>38520</v>
      </c>
      <c r="U4" s="51" t="s">
        <v>819</v>
      </c>
      <c r="V4" s="24" t="s">
        <v>155</v>
      </c>
      <c r="W4" s="23" t="s">
        <v>820</v>
      </c>
      <c r="X4" s="72">
        <v>0</v>
      </c>
      <c r="Y4" s="72">
        <v>10</v>
      </c>
      <c r="Z4" s="73">
        <v>1800</v>
      </c>
      <c r="AA4" s="24"/>
      <c r="AB4" s="24">
        <v>5</v>
      </c>
      <c r="AC4" s="24"/>
      <c r="AD4" s="24"/>
      <c r="AE4" s="24"/>
      <c r="AF4" s="24"/>
      <c r="AG4" s="24"/>
    </row>
    <row r="5" s="23" customFormat="1" ht="13.85" spans="1:33">
      <c r="A5" s="24" t="s">
        <v>25</v>
      </c>
      <c r="B5" s="143" t="s">
        <v>809</v>
      </c>
      <c r="C5" s="23" t="s">
        <v>821</v>
      </c>
      <c r="D5" s="24" t="s">
        <v>822</v>
      </c>
      <c r="E5" s="71">
        <v>46075</v>
      </c>
      <c r="F5" s="24" t="s">
        <v>823</v>
      </c>
      <c r="G5" s="24">
        <v>82.5</v>
      </c>
      <c r="H5" s="72">
        <v>1020</v>
      </c>
      <c r="I5" s="72">
        <f t="shared" ref="I5:I23" si="1">G5*H5</f>
        <v>84150</v>
      </c>
      <c r="J5" s="24">
        <v>82.5</v>
      </c>
      <c r="K5" s="24">
        <f t="shared" si="0"/>
        <v>0</v>
      </c>
      <c r="L5" s="151">
        <f>生物收款!E11</f>
        <v>84150</v>
      </c>
      <c r="M5" s="72">
        <f t="shared" ref="M5:M21" si="2">I5-L5</f>
        <v>0</v>
      </c>
      <c r="N5" s="72">
        <f t="shared" ref="N5:N23" si="3">J5*H5-L5</f>
        <v>0</v>
      </c>
      <c r="O5" s="72">
        <v>5</v>
      </c>
      <c r="P5" s="72">
        <f t="shared" ref="P5:P23" si="4">O5*G5</f>
        <v>412.5</v>
      </c>
      <c r="Q5" s="24">
        <v>6.9473</v>
      </c>
      <c r="R5" s="73">
        <v>7525</v>
      </c>
      <c r="S5" s="73" t="s">
        <v>813</v>
      </c>
      <c r="T5" s="73">
        <f t="shared" ref="T5:T23" si="5">R5*G5</f>
        <v>620812.5</v>
      </c>
      <c r="U5" s="51" t="s">
        <v>814</v>
      </c>
      <c r="V5" s="24" t="s">
        <v>155</v>
      </c>
      <c r="W5" s="23" t="s">
        <v>824</v>
      </c>
      <c r="X5" s="72">
        <f>900*3</f>
        <v>2700</v>
      </c>
      <c r="Y5" s="72">
        <f t="shared" ref="Y5:Y8" si="6">31*3</f>
        <v>93</v>
      </c>
      <c r="Z5" s="73">
        <f>5000*3</f>
        <v>15000</v>
      </c>
      <c r="AA5" s="24"/>
      <c r="AB5" s="24"/>
      <c r="AC5" s="24"/>
      <c r="AD5" s="24"/>
      <c r="AE5" s="24"/>
      <c r="AF5" s="24"/>
      <c r="AG5" s="24"/>
    </row>
    <row r="6" s="23" customFormat="1" ht="13.85" spans="1:33">
      <c r="A6" s="24" t="s">
        <v>25</v>
      </c>
      <c r="B6" s="143" t="s">
        <v>809</v>
      </c>
      <c r="C6" s="23" t="s">
        <v>825</v>
      </c>
      <c r="D6" s="24" t="s">
        <v>826</v>
      </c>
      <c r="E6" s="71">
        <v>46078</v>
      </c>
      <c r="F6" s="24" t="s">
        <v>827</v>
      </c>
      <c r="G6" s="24">
        <v>110</v>
      </c>
      <c r="H6" s="72">
        <v>1030</v>
      </c>
      <c r="I6" s="72">
        <f t="shared" si="1"/>
        <v>113300</v>
      </c>
      <c r="J6" s="24">
        <v>110</v>
      </c>
      <c r="K6" s="24">
        <f t="shared" si="0"/>
        <v>0</v>
      </c>
      <c r="L6" s="151">
        <f>生物收款!E29</f>
        <v>113300</v>
      </c>
      <c r="M6" s="72">
        <f t="shared" si="2"/>
        <v>0</v>
      </c>
      <c r="N6" s="72">
        <f t="shared" si="3"/>
        <v>0</v>
      </c>
      <c r="O6" s="72">
        <v>0</v>
      </c>
      <c r="P6" s="72">
        <f t="shared" si="4"/>
        <v>0</v>
      </c>
      <c r="Q6" s="24">
        <v>6.91</v>
      </c>
      <c r="R6" s="73">
        <v>7642</v>
      </c>
      <c r="S6" s="73" t="s">
        <v>813</v>
      </c>
      <c r="T6" s="73">
        <f t="shared" si="5"/>
        <v>840620</v>
      </c>
      <c r="U6" s="51" t="s">
        <v>814</v>
      </c>
      <c r="V6" s="24" t="s">
        <v>155</v>
      </c>
      <c r="W6" s="23" t="s">
        <v>824</v>
      </c>
      <c r="X6" s="72">
        <f>800*4</f>
        <v>3200</v>
      </c>
      <c r="Y6" s="72">
        <f>31*4</f>
        <v>124</v>
      </c>
      <c r="Z6" s="73">
        <f>4500*4</f>
        <v>18000</v>
      </c>
      <c r="AA6" s="24"/>
      <c r="AB6" s="24"/>
      <c r="AC6" s="24"/>
      <c r="AD6" s="24"/>
      <c r="AE6" s="24"/>
      <c r="AF6" s="24"/>
      <c r="AG6" s="24"/>
    </row>
    <row r="7" s="23" customFormat="1" ht="13.85" spans="1:33">
      <c r="A7" s="24" t="s">
        <v>25</v>
      </c>
      <c r="B7" s="143" t="s">
        <v>809</v>
      </c>
      <c r="C7" s="23" t="s">
        <v>810</v>
      </c>
      <c r="D7" s="24" t="s">
        <v>828</v>
      </c>
      <c r="E7" s="71">
        <v>46078</v>
      </c>
      <c r="F7" s="24" t="s">
        <v>812</v>
      </c>
      <c r="G7" s="24">
        <v>82.5</v>
      </c>
      <c r="H7" s="72">
        <v>1030</v>
      </c>
      <c r="I7" s="72">
        <f t="shared" si="1"/>
        <v>84975</v>
      </c>
      <c r="J7" s="24">
        <v>82.5</v>
      </c>
      <c r="K7" s="24">
        <f t="shared" si="0"/>
        <v>0</v>
      </c>
      <c r="L7" s="152">
        <f>生物收款!E32</f>
        <v>84975</v>
      </c>
      <c r="M7" s="72">
        <f t="shared" si="2"/>
        <v>0</v>
      </c>
      <c r="N7" s="72">
        <f t="shared" si="3"/>
        <v>0</v>
      </c>
      <c r="O7" s="72">
        <v>0</v>
      </c>
      <c r="P7" s="72">
        <f t="shared" si="4"/>
        <v>0</v>
      </c>
      <c r="Q7" s="24">
        <v>6.91</v>
      </c>
      <c r="R7" s="73">
        <v>7642</v>
      </c>
      <c r="S7" s="73" t="s">
        <v>813</v>
      </c>
      <c r="T7" s="73">
        <f t="shared" si="5"/>
        <v>630465</v>
      </c>
      <c r="U7" s="51" t="s">
        <v>814</v>
      </c>
      <c r="V7" s="24" t="s">
        <v>155</v>
      </c>
      <c r="W7" s="23" t="s">
        <v>829</v>
      </c>
      <c r="X7" s="72">
        <f>800*3</f>
        <v>2400</v>
      </c>
      <c r="Y7" s="72">
        <f t="shared" si="6"/>
        <v>93</v>
      </c>
      <c r="Z7" s="73">
        <f>4500*3</f>
        <v>13500</v>
      </c>
      <c r="AA7" s="24"/>
      <c r="AB7" s="24"/>
      <c r="AC7" s="24"/>
      <c r="AD7" s="24"/>
      <c r="AE7" s="24"/>
      <c r="AF7" s="24"/>
      <c r="AG7" s="24"/>
    </row>
    <row r="8" s="23" customFormat="1" ht="13.85" spans="1:33">
      <c r="A8" s="24" t="s">
        <v>25</v>
      </c>
      <c r="B8" s="143" t="s">
        <v>809</v>
      </c>
      <c r="C8" s="23" t="s">
        <v>830</v>
      </c>
      <c r="D8" s="24" t="s">
        <v>831</v>
      </c>
      <c r="E8" s="71">
        <v>46078</v>
      </c>
      <c r="F8" s="24" t="s">
        <v>818</v>
      </c>
      <c r="G8" s="24">
        <v>55</v>
      </c>
      <c r="H8" s="72">
        <v>1030</v>
      </c>
      <c r="I8" s="72">
        <f t="shared" si="1"/>
        <v>56650</v>
      </c>
      <c r="J8" s="24">
        <v>55</v>
      </c>
      <c r="K8" s="24">
        <f t="shared" si="0"/>
        <v>0</v>
      </c>
      <c r="L8" s="151">
        <f>生物收款!E27</f>
        <v>56650</v>
      </c>
      <c r="M8" s="72">
        <f t="shared" si="2"/>
        <v>0</v>
      </c>
      <c r="N8" s="72">
        <f t="shared" si="3"/>
        <v>0</v>
      </c>
      <c r="O8" s="72">
        <v>0</v>
      </c>
      <c r="P8" s="72">
        <f t="shared" si="4"/>
        <v>0</v>
      </c>
      <c r="Q8" s="24">
        <v>6.91</v>
      </c>
      <c r="R8" s="73">
        <v>7642</v>
      </c>
      <c r="S8" s="73" t="s">
        <v>813</v>
      </c>
      <c r="T8" s="73">
        <f t="shared" si="5"/>
        <v>420310</v>
      </c>
      <c r="U8" s="51" t="s">
        <v>814</v>
      </c>
      <c r="V8" s="24" t="s">
        <v>155</v>
      </c>
      <c r="W8" s="23" t="s">
        <v>829</v>
      </c>
      <c r="X8" s="72">
        <f t="shared" ref="X8:X11" si="7">800*2</f>
        <v>1600</v>
      </c>
      <c r="Y8" s="72">
        <f t="shared" ref="Y8:Y11" si="8">31*2</f>
        <v>62</v>
      </c>
      <c r="Z8" s="73">
        <f t="shared" ref="Z8:Z11" si="9">4500*2</f>
        <v>9000</v>
      </c>
      <c r="AA8" s="24"/>
      <c r="AB8" s="24"/>
      <c r="AC8" s="24"/>
      <c r="AD8" s="24"/>
      <c r="AE8" s="24"/>
      <c r="AF8" s="24"/>
      <c r="AG8" s="24"/>
    </row>
    <row r="9" s="23" customFormat="1" ht="13.85" spans="1:33">
      <c r="A9" s="24" t="s">
        <v>25</v>
      </c>
      <c r="B9" s="143" t="s">
        <v>809</v>
      </c>
      <c r="C9" s="23" t="s">
        <v>821</v>
      </c>
      <c r="D9" s="24" t="s">
        <v>832</v>
      </c>
      <c r="E9" s="71">
        <v>46078</v>
      </c>
      <c r="F9" s="24" t="s">
        <v>823</v>
      </c>
      <c r="G9" s="24">
        <v>55</v>
      </c>
      <c r="H9" s="72">
        <v>1030</v>
      </c>
      <c r="I9" s="72">
        <f t="shared" si="1"/>
        <v>56650</v>
      </c>
      <c r="J9" s="24">
        <v>55</v>
      </c>
      <c r="K9" s="24">
        <f t="shared" si="0"/>
        <v>0</v>
      </c>
      <c r="L9" s="151">
        <f>生物收款!E30</f>
        <v>56650</v>
      </c>
      <c r="M9" s="72">
        <f t="shared" si="2"/>
        <v>0</v>
      </c>
      <c r="N9" s="72">
        <f t="shared" si="3"/>
        <v>0</v>
      </c>
      <c r="O9" s="72">
        <v>0</v>
      </c>
      <c r="P9" s="72">
        <f t="shared" si="4"/>
        <v>0</v>
      </c>
      <c r="Q9" s="24">
        <v>6.91</v>
      </c>
      <c r="R9" s="73">
        <v>7642</v>
      </c>
      <c r="S9" s="73" t="s">
        <v>813</v>
      </c>
      <c r="T9" s="73">
        <f t="shared" si="5"/>
        <v>420310</v>
      </c>
      <c r="U9" s="51" t="s">
        <v>814</v>
      </c>
      <c r="V9" s="24" t="s">
        <v>155</v>
      </c>
      <c r="W9" s="23" t="s">
        <v>824</v>
      </c>
      <c r="X9" s="72">
        <f t="shared" si="7"/>
        <v>1600</v>
      </c>
      <c r="Y9" s="72">
        <f t="shared" si="8"/>
        <v>62</v>
      </c>
      <c r="Z9" s="73">
        <f t="shared" si="9"/>
        <v>9000</v>
      </c>
      <c r="AA9" s="24"/>
      <c r="AB9" s="24"/>
      <c r="AC9" s="24"/>
      <c r="AD9" s="24"/>
      <c r="AE9" s="24"/>
      <c r="AF9" s="24"/>
      <c r="AG9" s="24"/>
    </row>
    <row r="10" s="23" customFormat="1" ht="13.85" spans="1:33">
      <c r="A10" s="24" t="s">
        <v>25</v>
      </c>
      <c r="B10" s="143" t="s">
        <v>164</v>
      </c>
      <c r="C10" s="23" t="s">
        <v>833</v>
      </c>
      <c r="D10" s="24" t="s">
        <v>834</v>
      </c>
      <c r="E10" s="71">
        <v>46078</v>
      </c>
      <c r="F10" s="24" t="s">
        <v>818</v>
      </c>
      <c r="G10" s="24">
        <v>27.5</v>
      </c>
      <c r="H10" s="72">
        <v>1025</v>
      </c>
      <c r="I10" s="72">
        <f t="shared" si="1"/>
        <v>28187.5</v>
      </c>
      <c r="J10" s="24">
        <v>27.5</v>
      </c>
      <c r="K10" s="24">
        <f t="shared" si="0"/>
        <v>0</v>
      </c>
      <c r="L10" s="151">
        <f>生物收款!E3+16832.5</f>
        <v>28037.5</v>
      </c>
      <c r="M10" s="72">
        <f t="shared" si="2"/>
        <v>150</v>
      </c>
      <c r="N10" s="72">
        <f t="shared" si="3"/>
        <v>150</v>
      </c>
      <c r="O10" s="72">
        <v>0</v>
      </c>
      <c r="P10" s="72">
        <f t="shared" si="4"/>
        <v>0</v>
      </c>
      <c r="Q10" s="24">
        <v>6.91</v>
      </c>
      <c r="R10" s="73">
        <v>7603</v>
      </c>
      <c r="S10" s="73" t="s">
        <v>813</v>
      </c>
      <c r="T10" s="73">
        <f t="shared" si="5"/>
        <v>209082.5</v>
      </c>
      <c r="U10" s="51" t="s">
        <v>814</v>
      </c>
      <c r="V10" s="24" t="s">
        <v>155</v>
      </c>
      <c r="W10" s="23" t="s">
        <v>835</v>
      </c>
      <c r="X10" s="72">
        <f>800</f>
        <v>800</v>
      </c>
      <c r="Y10" s="72">
        <f>31</f>
        <v>31</v>
      </c>
      <c r="Z10" s="73">
        <f>4500</f>
        <v>4500</v>
      </c>
      <c r="AA10" s="24"/>
      <c r="AB10" s="24"/>
      <c r="AC10" s="24"/>
      <c r="AD10" s="24"/>
      <c r="AE10" s="24"/>
      <c r="AF10" s="24"/>
      <c r="AG10" s="24"/>
    </row>
    <row r="11" s="23" customFormat="1" ht="13.85" spans="1:33">
      <c r="A11" s="24" t="s">
        <v>25</v>
      </c>
      <c r="B11" s="143" t="s">
        <v>164</v>
      </c>
      <c r="C11" s="23" t="s">
        <v>833</v>
      </c>
      <c r="D11" s="24" t="s">
        <v>834</v>
      </c>
      <c r="E11" s="71">
        <v>46078</v>
      </c>
      <c r="F11" s="24" t="s">
        <v>812</v>
      </c>
      <c r="G11" s="24">
        <v>27.5</v>
      </c>
      <c r="H11" s="72">
        <v>1025</v>
      </c>
      <c r="I11" s="72">
        <f t="shared" si="1"/>
        <v>28187.5</v>
      </c>
      <c r="J11" s="24">
        <v>27.5</v>
      </c>
      <c r="K11" s="24">
        <f t="shared" si="0"/>
        <v>0</v>
      </c>
      <c r="L11" s="151">
        <f>生物收款!E12+生物收款!E14-16832.5</f>
        <v>28187.5</v>
      </c>
      <c r="M11" s="72">
        <f t="shared" si="2"/>
        <v>0</v>
      </c>
      <c r="N11" s="72">
        <f t="shared" si="3"/>
        <v>0</v>
      </c>
      <c r="O11" s="72">
        <v>0</v>
      </c>
      <c r="P11" s="72">
        <f t="shared" si="4"/>
        <v>0</v>
      </c>
      <c r="Q11" s="24">
        <v>6.91</v>
      </c>
      <c r="R11" s="73">
        <v>7603</v>
      </c>
      <c r="S11" s="73" t="s">
        <v>813</v>
      </c>
      <c r="T11" s="73">
        <f t="shared" si="5"/>
        <v>209082.5</v>
      </c>
      <c r="U11" s="51" t="s">
        <v>814</v>
      </c>
      <c r="V11" s="24" t="s">
        <v>155</v>
      </c>
      <c r="W11" s="23" t="s">
        <v>835</v>
      </c>
      <c r="X11" s="72">
        <f>800</f>
        <v>800</v>
      </c>
      <c r="Y11" s="72">
        <f>31</f>
        <v>31</v>
      </c>
      <c r="Z11" s="73">
        <f>4500</f>
        <v>4500</v>
      </c>
      <c r="AA11" s="24"/>
      <c r="AB11" s="24"/>
      <c r="AC11" s="24"/>
      <c r="AD11" s="24"/>
      <c r="AE11" s="24"/>
      <c r="AF11" s="24"/>
      <c r="AG11" s="24"/>
    </row>
    <row r="12" s="23" customFormat="1" ht="13.85" spans="1:33">
      <c r="A12" s="24" t="s">
        <v>150</v>
      </c>
      <c r="B12" s="143" t="s">
        <v>183</v>
      </c>
      <c r="C12" s="23" t="s">
        <v>836</v>
      </c>
      <c r="D12" s="24" t="s">
        <v>837</v>
      </c>
      <c r="E12" s="71">
        <v>46117</v>
      </c>
      <c r="F12" s="24" t="s">
        <v>823</v>
      </c>
      <c r="G12" s="24">
        <v>20</v>
      </c>
      <c r="H12" s="72">
        <v>1165</v>
      </c>
      <c r="I12" s="72">
        <f t="shared" si="1"/>
        <v>23300</v>
      </c>
      <c r="J12" s="24">
        <v>20</v>
      </c>
      <c r="K12" s="24">
        <f t="shared" si="0"/>
        <v>0</v>
      </c>
      <c r="L12" s="151">
        <f>生物收款!E4+生物收款!E5</f>
        <v>23300</v>
      </c>
      <c r="M12" s="72">
        <f t="shared" si="2"/>
        <v>0</v>
      </c>
      <c r="N12" s="72">
        <f t="shared" si="3"/>
        <v>0</v>
      </c>
      <c r="O12" s="72">
        <v>0</v>
      </c>
      <c r="P12" s="72">
        <f t="shared" si="4"/>
        <v>0</v>
      </c>
      <c r="Q12" s="24">
        <v>6.87</v>
      </c>
      <c r="R12" s="73">
        <v>8810</v>
      </c>
      <c r="S12" s="73" t="s">
        <v>813</v>
      </c>
      <c r="T12" s="73">
        <f t="shared" si="5"/>
        <v>176200</v>
      </c>
      <c r="U12" s="51" t="s">
        <v>838</v>
      </c>
      <c r="V12" s="24" t="s">
        <v>246</v>
      </c>
      <c r="W12" s="23" t="s">
        <v>205</v>
      </c>
      <c r="X12" s="72">
        <v>10</v>
      </c>
      <c r="Y12" s="72">
        <v>0</v>
      </c>
      <c r="Z12" s="73">
        <v>4000</v>
      </c>
      <c r="AA12" s="24"/>
      <c r="AB12" s="24">
        <v>10</v>
      </c>
      <c r="AC12" s="24"/>
      <c r="AD12" s="24"/>
      <c r="AE12" s="24"/>
      <c r="AF12" s="24"/>
      <c r="AG12" s="24"/>
    </row>
    <row r="13" s="23" customFormat="1" ht="13.85" spans="1:33">
      <c r="A13" s="24" t="s">
        <v>150</v>
      </c>
      <c r="B13" s="143" t="s">
        <v>809</v>
      </c>
      <c r="C13" s="23" t="s">
        <v>839</v>
      </c>
      <c r="D13" s="24" t="s">
        <v>840</v>
      </c>
      <c r="E13" s="71">
        <v>46122</v>
      </c>
      <c r="F13" s="24" t="s">
        <v>806</v>
      </c>
      <c r="G13" s="24">
        <v>234</v>
      </c>
      <c r="H13" s="72">
        <v>1089</v>
      </c>
      <c r="I13" s="72">
        <f t="shared" si="1"/>
        <v>254826</v>
      </c>
      <c r="J13" s="24">
        <v>234</v>
      </c>
      <c r="K13" s="24">
        <f t="shared" si="0"/>
        <v>0</v>
      </c>
      <c r="L13" s="151">
        <f>生物收款!E13</f>
        <v>254227.71</v>
      </c>
      <c r="M13" s="72">
        <f t="shared" si="2"/>
        <v>598.290000000008</v>
      </c>
      <c r="N13" s="72">
        <f t="shared" si="3"/>
        <v>598.290000000008</v>
      </c>
      <c r="O13" s="72">
        <v>0</v>
      </c>
      <c r="P13" s="72">
        <f t="shared" si="4"/>
        <v>0</v>
      </c>
      <c r="Q13" s="24">
        <v>6.875</v>
      </c>
      <c r="R13" s="73">
        <v>7204</v>
      </c>
      <c r="S13" s="73">
        <v>7050</v>
      </c>
      <c r="T13" s="73">
        <f t="shared" si="5"/>
        <v>1685736</v>
      </c>
      <c r="U13" s="51" t="s">
        <v>841</v>
      </c>
      <c r="V13" s="24" t="s">
        <v>155</v>
      </c>
      <c r="W13" s="23" t="s">
        <v>820</v>
      </c>
      <c r="X13" s="72">
        <f>250*10</f>
        <v>2500</v>
      </c>
      <c r="Y13" s="72">
        <f>30*10</f>
        <v>300</v>
      </c>
      <c r="Z13" s="73">
        <f>4000*10</f>
        <v>40000</v>
      </c>
      <c r="AA13" s="24"/>
      <c r="AB13" s="24"/>
      <c r="AC13" s="24"/>
      <c r="AD13" s="24"/>
      <c r="AE13" s="24"/>
      <c r="AF13" s="24"/>
      <c r="AG13" s="24"/>
    </row>
    <row r="14" s="138" customFormat="1" ht="13.85" spans="1:33">
      <c r="A14" s="110" t="s">
        <v>37</v>
      </c>
      <c r="B14" s="143" t="s">
        <v>164</v>
      </c>
      <c r="C14" s="138" t="s">
        <v>842</v>
      </c>
      <c r="D14" s="110" t="s">
        <v>843</v>
      </c>
      <c r="E14" s="112">
        <v>46152</v>
      </c>
      <c r="F14" s="110" t="s">
        <v>844</v>
      </c>
      <c r="G14" s="66">
        <v>80</v>
      </c>
      <c r="H14" s="79">
        <v>1055</v>
      </c>
      <c r="I14" s="79">
        <f t="shared" si="1"/>
        <v>84400</v>
      </c>
      <c r="J14" s="66">
        <v>80</v>
      </c>
      <c r="K14" s="66">
        <f t="shared" si="0"/>
        <v>0</v>
      </c>
      <c r="L14" s="153">
        <f>生物收款!E17</f>
        <v>84400</v>
      </c>
      <c r="M14" s="79">
        <f t="shared" si="2"/>
        <v>0</v>
      </c>
      <c r="N14" s="79">
        <f t="shared" si="3"/>
        <v>0</v>
      </c>
      <c r="O14" s="79">
        <v>0</v>
      </c>
      <c r="P14" s="79">
        <f t="shared" si="4"/>
        <v>0</v>
      </c>
      <c r="Q14" s="110">
        <v>6.875</v>
      </c>
      <c r="R14" s="113">
        <v>7253</v>
      </c>
      <c r="S14" s="113">
        <v>7250</v>
      </c>
      <c r="T14" s="113">
        <f t="shared" si="5"/>
        <v>580240</v>
      </c>
      <c r="U14" s="111" t="s">
        <v>845</v>
      </c>
      <c r="V14" s="110" t="s">
        <v>168</v>
      </c>
      <c r="W14" s="138" t="s">
        <v>169</v>
      </c>
      <c r="X14" s="79">
        <v>0</v>
      </c>
      <c r="Y14" s="79">
        <v>0</v>
      </c>
      <c r="Z14" s="113">
        <v>0</v>
      </c>
      <c r="AA14" s="110">
        <v>0</v>
      </c>
      <c r="AB14" s="110"/>
      <c r="AC14" s="110"/>
      <c r="AD14" s="110"/>
      <c r="AE14" s="110"/>
      <c r="AF14" s="110"/>
      <c r="AG14" s="110"/>
    </row>
    <row r="15" s="23" customFormat="1" ht="13.85" spans="1:33">
      <c r="A15" s="24" t="s">
        <v>150</v>
      </c>
      <c r="B15" s="143" t="s">
        <v>173</v>
      </c>
      <c r="C15" s="23" t="s">
        <v>836</v>
      </c>
      <c r="D15" s="24" t="s">
        <v>846</v>
      </c>
      <c r="E15" s="71">
        <v>46125</v>
      </c>
      <c r="F15" s="24" t="s">
        <v>823</v>
      </c>
      <c r="G15" s="24">
        <v>20</v>
      </c>
      <c r="H15" s="72">
        <v>1510</v>
      </c>
      <c r="I15" s="72">
        <f t="shared" si="1"/>
        <v>30200</v>
      </c>
      <c r="J15" s="24">
        <v>20</v>
      </c>
      <c r="K15" s="24">
        <f t="shared" si="0"/>
        <v>0</v>
      </c>
      <c r="L15" s="151">
        <f>生物收款!E6+生物收款!E8</f>
        <v>30200</v>
      </c>
      <c r="M15" s="72">
        <f t="shared" si="2"/>
        <v>0</v>
      </c>
      <c r="N15" s="72">
        <f t="shared" si="3"/>
        <v>0</v>
      </c>
      <c r="O15" s="72">
        <v>0</v>
      </c>
      <c r="P15" s="72">
        <f t="shared" si="4"/>
        <v>0</v>
      </c>
      <c r="Q15" s="24">
        <v>6.87</v>
      </c>
      <c r="R15" s="73">
        <v>11488</v>
      </c>
      <c r="S15" s="73" t="s">
        <v>813</v>
      </c>
      <c r="T15" s="73">
        <f t="shared" si="5"/>
        <v>229760</v>
      </c>
      <c r="U15" s="51" t="s">
        <v>838</v>
      </c>
      <c r="V15" s="24" t="s">
        <v>155</v>
      </c>
      <c r="W15" s="23" t="s">
        <v>205</v>
      </c>
      <c r="X15" s="72">
        <v>10</v>
      </c>
      <c r="Y15" s="72">
        <v>10</v>
      </c>
      <c r="Z15" s="73">
        <v>4000</v>
      </c>
      <c r="AA15" s="24"/>
      <c r="AB15" s="24">
        <v>10</v>
      </c>
      <c r="AC15" s="24"/>
      <c r="AD15" s="24"/>
      <c r="AE15" s="24"/>
      <c r="AF15" s="24"/>
      <c r="AG15" s="24"/>
    </row>
    <row r="16" s="23" customFormat="1" ht="13.85" spans="1:33">
      <c r="A16" s="24" t="s">
        <v>150</v>
      </c>
      <c r="B16" s="143" t="s">
        <v>183</v>
      </c>
      <c r="C16" s="23" t="s">
        <v>847</v>
      </c>
      <c r="D16" s="24" t="s">
        <v>848</v>
      </c>
      <c r="E16" s="71">
        <v>46128</v>
      </c>
      <c r="F16" s="24" t="s">
        <v>849</v>
      </c>
      <c r="G16" s="24">
        <v>5</v>
      </c>
      <c r="H16" s="72">
        <v>1560</v>
      </c>
      <c r="I16" s="72">
        <f t="shared" si="1"/>
        <v>7800</v>
      </c>
      <c r="J16" s="24">
        <v>5</v>
      </c>
      <c r="K16" s="24">
        <f t="shared" si="0"/>
        <v>0</v>
      </c>
      <c r="L16" s="151">
        <f>生物收款!E7-34320</f>
        <v>7800</v>
      </c>
      <c r="M16" s="72">
        <f t="shared" si="2"/>
        <v>0</v>
      </c>
      <c r="N16" s="72">
        <f t="shared" si="3"/>
        <v>0</v>
      </c>
      <c r="O16" s="72">
        <v>30</v>
      </c>
      <c r="P16" s="72">
        <f t="shared" si="4"/>
        <v>150</v>
      </c>
      <c r="Q16" s="24">
        <v>6.89</v>
      </c>
      <c r="R16" s="73">
        <v>10616</v>
      </c>
      <c r="S16" s="73" t="s">
        <v>813</v>
      </c>
      <c r="T16" s="73">
        <f t="shared" si="5"/>
        <v>53080</v>
      </c>
      <c r="U16" s="51" t="s">
        <v>850</v>
      </c>
      <c r="V16" s="24" t="s">
        <v>155</v>
      </c>
      <c r="W16" s="23" t="s">
        <v>851</v>
      </c>
      <c r="X16" s="72">
        <v>3850</v>
      </c>
      <c r="Y16" s="72">
        <v>50</v>
      </c>
      <c r="Z16" s="73">
        <v>4500</v>
      </c>
      <c r="AA16" s="24"/>
      <c r="AB16" s="24"/>
      <c r="AC16" s="24"/>
      <c r="AD16" s="24"/>
      <c r="AE16" s="24"/>
      <c r="AF16" s="24"/>
      <c r="AG16" s="24"/>
    </row>
    <row r="17" s="23" customFormat="1" ht="13.85" spans="1:33">
      <c r="A17" s="24" t="s">
        <v>150</v>
      </c>
      <c r="B17" s="143" t="s">
        <v>183</v>
      </c>
      <c r="C17" s="23" t="s">
        <v>847</v>
      </c>
      <c r="D17" s="24" t="s">
        <v>848</v>
      </c>
      <c r="E17" s="71">
        <v>46128</v>
      </c>
      <c r="F17" s="24" t="s">
        <v>818</v>
      </c>
      <c r="G17" s="24">
        <v>22</v>
      </c>
      <c r="H17" s="72">
        <v>1560</v>
      </c>
      <c r="I17" s="72">
        <f t="shared" si="1"/>
        <v>34320</v>
      </c>
      <c r="J17" s="24">
        <v>22</v>
      </c>
      <c r="K17" s="24">
        <f t="shared" si="0"/>
        <v>0</v>
      </c>
      <c r="L17" s="151">
        <v>34320</v>
      </c>
      <c r="M17" s="72">
        <f t="shared" si="2"/>
        <v>0</v>
      </c>
      <c r="N17" s="72">
        <f t="shared" si="3"/>
        <v>0</v>
      </c>
      <c r="O17" s="72">
        <v>30</v>
      </c>
      <c r="P17" s="72">
        <f t="shared" si="4"/>
        <v>660</v>
      </c>
      <c r="Q17" s="24">
        <v>6.89</v>
      </c>
      <c r="R17" s="73">
        <v>10616</v>
      </c>
      <c r="S17" s="73" t="s">
        <v>813</v>
      </c>
      <c r="T17" s="73">
        <f t="shared" si="5"/>
        <v>233552</v>
      </c>
      <c r="U17" s="51" t="s">
        <v>850</v>
      </c>
      <c r="V17" s="24" t="s">
        <v>155</v>
      </c>
      <c r="W17" s="23" t="s">
        <v>851</v>
      </c>
      <c r="X17" s="72">
        <v>0</v>
      </c>
      <c r="Y17" s="72">
        <v>0</v>
      </c>
      <c r="Z17" s="73">
        <v>0</v>
      </c>
      <c r="AA17" s="24"/>
      <c r="AB17" s="24"/>
      <c r="AC17" s="24"/>
      <c r="AD17" s="24"/>
      <c r="AE17" s="24"/>
      <c r="AF17" s="24"/>
      <c r="AG17" s="24"/>
    </row>
    <row r="18" s="23" customFormat="1" ht="13.85" spans="1:33">
      <c r="A18" s="24" t="s">
        <v>150</v>
      </c>
      <c r="B18" s="143" t="s">
        <v>852</v>
      </c>
      <c r="C18" s="23" t="s">
        <v>839</v>
      </c>
      <c r="D18" s="24" t="s">
        <v>853</v>
      </c>
      <c r="E18" s="71">
        <v>46173</v>
      </c>
      <c r="F18" s="24" t="s">
        <v>806</v>
      </c>
      <c r="G18" s="24">
        <v>327.6</v>
      </c>
      <c r="H18" s="72">
        <v>1110</v>
      </c>
      <c r="I18" s="72">
        <f t="shared" si="1"/>
        <v>363636</v>
      </c>
      <c r="J18" s="24">
        <f>117+117+93.6</f>
        <v>327.6</v>
      </c>
      <c r="K18" s="24">
        <f t="shared" si="0"/>
        <v>0</v>
      </c>
      <c r="L18" s="151">
        <f>生物收款!E19</f>
        <v>363636</v>
      </c>
      <c r="M18" s="72">
        <f t="shared" si="2"/>
        <v>0</v>
      </c>
      <c r="N18" s="72">
        <f t="shared" si="3"/>
        <v>0</v>
      </c>
      <c r="O18" s="72">
        <v>0</v>
      </c>
      <c r="P18" s="72">
        <f t="shared" si="4"/>
        <v>0</v>
      </c>
      <c r="Q18" s="24">
        <v>6.89</v>
      </c>
      <c r="R18" s="73">
        <v>7379</v>
      </c>
      <c r="S18" s="73">
        <v>7150</v>
      </c>
      <c r="T18" s="73">
        <f t="shared" si="5"/>
        <v>2417360.4</v>
      </c>
      <c r="U18" s="51" t="s">
        <v>841</v>
      </c>
      <c r="V18" s="24" t="s">
        <v>155</v>
      </c>
      <c r="W18" s="23" t="s">
        <v>820</v>
      </c>
      <c r="X18" s="72">
        <f>300*14</f>
        <v>4200</v>
      </c>
      <c r="Y18" s="72">
        <f>30*14</f>
        <v>420</v>
      </c>
      <c r="Z18" s="73">
        <f>4000*14</f>
        <v>56000</v>
      </c>
      <c r="AA18" s="24"/>
      <c r="AB18" s="24"/>
      <c r="AC18" s="24"/>
      <c r="AD18" s="24"/>
      <c r="AE18" s="24"/>
      <c r="AF18" s="24"/>
      <c r="AG18" s="24"/>
    </row>
    <row r="19" s="23" customFormat="1" ht="13.85" spans="1:33">
      <c r="A19" s="24" t="s">
        <v>25</v>
      </c>
      <c r="B19" s="143" t="s">
        <v>809</v>
      </c>
      <c r="C19" s="23" t="s">
        <v>825</v>
      </c>
      <c r="D19" s="24" t="s">
        <v>854</v>
      </c>
      <c r="E19" s="71">
        <v>46144</v>
      </c>
      <c r="F19" s="24" t="s">
        <v>827</v>
      </c>
      <c r="G19" s="24">
        <v>55</v>
      </c>
      <c r="H19" s="72">
        <v>1400</v>
      </c>
      <c r="I19" s="72">
        <f t="shared" si="1"/>
        <v>77000</v>
      </c>
      <c r="J19" s="24">
        <v>55</v>
      </c>
      <c r="K19" s="24">
        <f t="shared" si="0"/>
        <v>0</v>
      </c>
      <c r="L19" s="151">
        <f>生物收款!E28</f>
        <v>77000</v>
      </c>
      <c r="M19" s="72">
        <f t="shared" si="2"/>
        <v>0</v>
      </c>
      <c r="N19" s="72">
        <f t="shared" si="3"/>
        <v>0</v>
      </c>
      <c r="O19" s="72">
        <v>5</v>
      </c>
      <c r="P19" s="72">
        <f t="shared" si="4"/>
        <v>275</v>
      </c>
      <c r="Q19" s="24">
        <v>6.8624</v>
      </c>
      <c r="R19" s="73">
        <v>10233</v>
      </c>
      <c r="S19" s="73" t="s">
        <v>813</v>
      </c>
      <c r="T19" s="73">
        <f t="shared" si="5"/>
        <v>562815</v>
      </c>
      <c r="U19" s="51" t="s">
        <v>814</v>
      </c>
      <c r="V19" s="24" t="s">
        <v>155</v>
      </c>
      <c r="W19" s="23" t="s">
        <v>824</v>
      </c>
      <c r="X19" s="72">
        <f>1400*2</f>
        <v>2800</v>
      </c>
      <c r="Y19" s="72">
        <f>43*2</f>
        <v>86</v>
      </c>
      <c r="Z19" s="73">
        <f>5000*2</f>
        <v>10000</v>
      </c>
      <c r="AA19" s="24"/>
      <c r="AB19" s="24"/>
      <c r="AC19" s="24"/>
      <c r="AD19" s="24"/>
      <c r="AE19" s="24"/>
      <c r="AF19" s="24"/>
      <c r="AG19" s="24"/>
    </row>
    <row r="20" s="23" customFormat="1" ht="13.85" spans="1:33">
      <c r="A20" s="24" t="s">
        <v>25</v>
      </c>
      <c r="B20" s="143" t="s">
        <v>809</v>
      </c>
      <c r="C20" s="23" t="s">
        <v>830</v>
      </c>
      <c r="D20" s="24" t="s">
        <v>855</v>
      </c>
      <c r="E20" s="71">
        <v>46144</v>
      </c>
      <c r="F20" s="24" t="s">
        <v>818</v>
      </c>
      <c r="G20" s="24">
        <v>55</v>
      </c>
      <c r="H20" s="72">
        <v>1400</v>
      </c>
      <c r="I20" s="72">
        <f t="shared" ref="I20:I64" si="10">G20*H20</f>
        <v>77000</v>
      </c>
      <c r="J20" s="24">
        <v>55</v>
      </c>
      <c r="K20" s="24">
        <f t="shared" ref="K20:K64" si="11">G20-J20</f>
        <v>0</v>
      </c>
      <c r="L20" s="151">
        <f>生物收款!E26</f>
        <v>77000</v>
      </c>
      <c r="M20" s="72">
        <f t="shared" si="2"/>
        <v>0</v>
      </c>
      <c r="N20" s="72">
        <f t="shared" si="3"/>
        <v>0</v>
      </c>
      <c r="O20" s="72">
        <v>5</v>
      </c>
      <c r="P20" s="72">
        <f t="shared" si="4"/>
        <v>275</v>
      </c>
      <c r="Q20" s="24">
        <v>6.8624</v>
      </c>
      <c r="R20" s="73">
        <v>10233</v>
      </c>
      <c r="S20" s="73" t="s">
        <v>813</v>
      </c>
      <c r="T20" s="73">
        <f t="shared" si="5"/>
        <v>562815</v>
      </c>
      <c r="U20" s="51" t="s">
        <v>814</v>
      </c>
      <c r="V20" s="24" t="s">
        <v>155</v>
      </c>
      <c r="W20" s="23" t="s">
        <v>829</v>
      </c>
      <c r="X20" s="72">
        <f>1400*2</f>
        <v>2800</v>
      </c>
      <c r="Y20" s="72">
        <f>43*2</f>
        <v>86</v>
      </c>
      <c r="Z20" s="73">
        <f>5000*2</f>
        <v>10000</v>
      </c>
      <c r="AA20" s="24"/>
      <c r="AB20" s="24"/>
      <c r="AC20" s="24"/>
      <c r="AD20" s="24"/>
      <c r="AE20" s="24"/>
      <c r="AF20" s="24"/>
      <c r="AG20" s="24"/>
    </row>
    <row r="21" s="23" customFormat="1" ht="13.85" spans="1:33">
      <c r="A21" s="24" t="s">
        <v>25</v>
      </c>
      <c r="B21" s="143" t="s">
        <v>809</v>
      </c>
      <c r="C21" s="23" t="s">
        <v>821</v>
      </c>
      <c r="D21" s="24" t="s">
        <v>856</v>
      </c>
      <c r="E21" s="71">
        <v>46144</v>
      </c>
      <c r="F21" s="24" t="s">
        <v>823</v>
      </c>
      <c r="G21" s="24">
        <v>55</v>
      </c>
      <c r="H21" s="72">
        <v>1400</v>
      </c>
      <c r="I21" s="72">
        <f t="shared" si="10"/>
        <v>77000</v>
      </c>
      <c r="J21" s="24">
        <v>55</v>
      </c>
      <c r="K21" s="24">
        <f t="shared" si="11"/>
        <v>0</v>
      </c>
      <c r="L21" s="151">
        <f>生物收款!E23</f>
        <v>77000</v>
      </c>
      <c r="M21" s="72">
        <f t="shared" si="2"/>
        <v>0</v>
      </c>
      <c r="N21" s="72">
        <f t="shared" ref="N21:N64" si="12">J21*H21-L21</f>
        <v>0</v>
      </c>
      <c r="O21" s="72">
        <v>5</v>
      </c>
      <c r="P21" s="72">
        <f t="shared" si="4"/>
        <v>275</v>
      </c>
      <c r="Q21" s="24">
        <v>6.8624</v>
      </c>
      <c r="R21" s="73">
        <v>10233</v>
      </c>
      <c r="S21" s="73" t="s">
        <v>813</v>
      </c>
      <c r="T21" s="73">
        <f t="shared" si="5"/>
        <v>562815</v>
      </c>
      <c r="U21" s="51" t="s">
        <v>814</v>
      </c>
      <c r="V21" s="24" t="s">
        <v>155</v>
      </c>
      <c r="W21" s="23" t="s">
        <v>824</v>
      </c>
      <c r="X21" s="72">
        <f>1400*2</f>
        <v>2800</v>
      </c>
      <c r="Y21" s="72">
        <f>43*2</f>
        <v>86</v>
      </c>
      <c r="Z21" s="73">
        <f>5000*2</f>
        <v>10000</v>
      </c>
      <c r="AA21" s="24"/>
      <c r="AB21" s="24"/>
      <c r="AC21" s="24"/>
      <c r="AD21" s="24"/>
      <c r="AE21" s="24"/>
      <c r="AF21" s="24"/>
      <c r="AG21" s="24"/>
    </row>
    <row r="22" s="23" customFormat="1" ht="13.85" spans="1:33">
      <c r="A22" s="24" t="s">
        <v>25</v>
      </c>
      <c r="B22" s="143" t="s">
        <v>809</v>
      </c>
      <c r="C22" s="23" t="s">
        <v>833</v>
      </c>
      <c r="D22" s="24" t="s">
        <v>857</v>
      </c>
      <c r="E22" s="71">
        <v>46144</v>
      </c>
      <c r="F22" s="24" t="s">
        <v>812</v>
      </c>
      <c r="G22" s="24">
        <v>55</v>
      </c>
      <c r="H22" s="72">
        <v>1400</v>
      </c>
      <c r="I22" s="72">
        <f t="shared" si="10"/>
        <v>77000</v>
      </c>
      <c r="J22" s="24">
        <v>55</v>
      </c>
      <c r="K22" s="24">
        <f t="shared" si="11"/>
        <v>0</v>
      </c>
      <c r="L22" s="151">
        <f>生物收款!E20+生物收款!E25</f>
        <v>77000</v>
      </c>
      <c r="M22" s="72">
        <f t="shared" ref="M22:M64" si="13">I22-L22</f>
        <v>0</v>
      </c>
      <c r="N22" s="72">
        <f t="shared" si="12"/>
        <v>0</v>
      </c>
      <c r="O22" s="72">
        <v>5</v>
      </c>
      <c r="P22" s="72">
        <f t="shared" si="4"/>
        <v>275</v>
      </c>
      <c r="Q22" s="24">
        <v>6.8624</v>
      </c>
      <c r="R22" s="73">
        <v>10233</v>
      </c>
      <c r="S22" s="73" t="s">
        <v>813</v>
      </c>
      <c r="T22" s="73">
        <f t="shared" ref="T22:T63" si="14">R22*G22</f>
        <v>562815</v>
      </c>
      <c r="U22" s="51" t="s">
        <v>814</v>
      </c>
      <c r="V22" s="24" t="s">
        <v>155</v>
      </c>
      <c r="W22" s="23" t="s">
        <v>835</v>
      </c>
      <c r="X22" s="72">
        <f>1400*2</f>
        <v>2800</v>
      </c>
      <c r="Y22" s="72">
        <f>43*2</f>
        <v>86</v>
      </c>
      <c r="Z22" s="73">
        <f>5000*2</f>
        <v>10000</v>
      </c>
      <c r="AA22" s="24"/>
      <c r="AB22" s="24"/>
      <c r="AC22" s="24"/>
      <c r="AD22" s="24"/>
      <c r="AE22" s="24"/>
      <c r="AF22" s="24"/>
      <c r="AG22" s="24"/>
    </row>
    <row r="23" s="23" customFormat="1" ht="13.85" spans="1:33">
      <c r="A23" s="24" t="s">
        <v>25</v>
      </c>
      <c r="B23" s="143" t="s">
        <v>809</v>
      </c>
      <c r="C23" s="23" t="s">
        <v>858</v>
      </c>
      <c r="D23" s="24" t="s">
        <v>859</v>
      </c>
      <c r="E23" s="71">
        <v>46150</v>
      </c>
      <c r="F23" s="24" t="s">
        <v>812</v>
      </c>
      <c r="G23" s="24">
        <v>55</v>
      </c>
      <c r="H23" s="72">
        <v>1480</v>
      </c>
      <c r="I23" s="72">
        <f t="shared" si="10"/>
        <v>81400</v>
      </c>
      <c r="J23" s="24">
        <v>55</v>
      </c>
      <c r="K23" s="24">
        <f t="shared" si="11"/>
        <v>0</v>
      </c>
      <c r="L23" s="152">
        <f>生物收款!E33</f>
        <v>81400</v>
      </c>
      <c r="M23" s="72">
        <f t="shared" si="13"/>
        <v>0</v>
      </c>
      <c r="N23" s="72">
        <f t="shared" si="12"/>
        <v>0</v>
      </c>
      <c r="O23" s="72">
        <v>10</v>
      </c>
      <c r="P23" s="72">
        <f t="shared" ref="P23:P47" si="15">O23*G23</f>
        <v>550</v>
      </c>
      <c r="Q23" s="24">
        <v>6.816</v>
      </c>
      <c r="R23" s="73">
        <v>10730</v>
      </c>
      <c r="S23" s="73" t="s">
        <v>813</v>
      </c>
      <c r="T23" s="73">
        <f t="shared" si="14"/>
        <v>590150</v>
      </c>
      <c r="U23" s="51" t="s">
        <v>814</v>
      </c>
      <c r="V23" s="24" t="s">
        <v>155</v>
      </c>
      <c r="W23" s="23" t="s">
        <v>824</v>
      </c>
      <c r="X23" s="72">
        <f>2*1450</f>
        <v>2900</v>
      </c>
      <c r="Y23" s="72">
        <f>2*45</f>
        <v>90</v>
      </c>
      <c r="Z23" s="73">
        <f>2*5000</f>
        <v>10000</v>
      </c>
      <c r="AA23" s="24"/>
      <c r="AB23" s="24"/>
      <c r="AC23" s="24"/>
      <c r="AD23" s="24"/>
      <c r="AE23" s="24"/>
      <c r="AF23" s="24"/>
      <c r="AG23" s="24"/>
    </row>
    <row r="24" s="23" customFormat="1" ht="13.85" spans="1:33">
      <c r="A24" s="24" t="s">
        <v>25</v>
      </c>
      <c r="B24" s="143" t="s">
        <v>809</v>
      </c>
      <c r="C24" s="23" t="s">
        <v>860</v>
      </c>
      <c r="D24" s="24" t="s">
        <v>861</v>
      </c>
      <c r="E24" s="71">
        <v>46150</v>
      </c>
      <c r="F24" s="24" t="s">
        <v>827</v>
      </c>
      <c r="G24" s="24">
        <v>27.5</v>
      </c>
      <c r="H24" s="72">
        <v>1470</v>
      </c>
      <c r="I24" s="72">
        <f t="shared" si="10"/>
        <v>40425</v>
      </c>
      <c r="J24" s="24">
        <v>27.5</v>
      </c>
      <c r="K24" s="24">
        <f t="shared" si="11"/>
        <v>0</v>
      </c>
      <c r="L24" s="151">
        <f>生物收款!E21</f>
        <v>40425</v>
      </c>
      <c r="M24" s="72">
        <f t="shared" si="13"/>
        <v>0</v>
      </c>
      <c r="N24" s="72">
        <f t="shared" si="12"/>
        <v>0</v>
      </c>
      <c r="O24" s="72">
        <v>10</v>
      </c>
      <c r="P24" s="72">
        <f t="shared" si="15"/>
        <v>275</v>
      </c>
      <c r="Q24" s="24">
        <v>6.816</v>
      </c>
      <c r="R24" s="73">
        <v>10653</v>
      </c>
      <c r="S24" s="73" t="s">
        <v>813</v>
      </c>
      <c r="T24" s="73">
        <f t="shared" si="14"/>
        <v>292957.5</v>
      </c>
      <c r="U24" s="51" t="s">
        <v>814</v>
      </c>
      <c r="V24" s="24" t="s">
        <v>155</v>
      </c>
      <c r="W24" s="23" t="s">
        <v>824</v>
      </c>
      <c r="X24" s="72">
        <f>1450</f>
        <v>1450</v>
      </c>
      <c r="Y24" s="72">
        <f>45</f>
        <v>45</v>
      </c>
      <c r="Z24" s="73">
        <f>5000</f>
        <v>5000</v>
      </c>
      <c r="AA24" s="24"/>
      <c r="AB24" s="24"/>
      <c r="AC24" s="24"/>
      <c r="AD24" s="24"/>
      <c r="AE24" s="24"/>
      <c r="AF24" s="24"/>
      <c r="AG24" s="24"/>
    </row>
    <row r="25" s="23" customFormat="1" ht="13.85" spans="1:33">
      <c r="A25" s="24" t="s">
        <v>150</v>
      </c>
      <c r="B25" s="143" t="s">
        <v>183</v>
      </c>
      <c r="C25" s="23" t="s">
        <v>847</v>
      </c>
      <c r="D25" s="24" t="s">
        <v>862</v>
      </c>
      <c r="E25" s="71">
        <v>46203</v>
      </c>
      <c r="F25" s="24" t="s">
        <v>818</v>
      </c>
      <c r="G25" s="24">
        <v>54</v>
      </c>
      <c r="H25" s="72">
        <v>1495</v>
      </c>
      <c r="I25" s="72">
        <f t="shared" si="10"/>
        <v>80730</v>
      </c>
      <c r="J25" s="24">
        <v>54</v>
      </c>
      <c r="K25" s="24">
        <f t="shared" si="11"/>
        <v>0</v>
      </c>
      <c r="L25" s="151">
        <f>生物收款!E10</f>
        <v>80730</v>
      </c>
      <c r="M25" s="72">
        <f t="shared" si="13"/>
        <v>0</v>
      </c>
      <c r="N25" s="72">
        <f t="shared" si="12"/>
        <v>0</v>
      </c>
      <c r="O25" s="72">
        <v>30</v>
      </c>
      <c r="P25" s="72">
        <f t="shared" si="15"/>
        <v>1620</v>
      </c>
      <c r="Q25" s="24">
        <v>6.82</v>
      </c>
      <c r="R25" s="73">
        <v>10130</v>
      </c>
      <c r="S25" s="73"/>
      <c r="T25" s="73">
        <f t="shared" si="14"/>
        <v>547020</v>
      </c>
      <c r="U25" s="51" t="s">
        <v>850</v>
      </c>
      <c r="V25" s="24" t="s">
        <v>155</v>
      </c>
      <c r="W25" s="23" t="s">
        <v>851</v>
      </c>
      <c r="X25" s="72">
        <f>3400*2</f>
        <v>6800</v>
      </c>
      <c r="Y25" s="72">
        <f>50*2</f>
        <v>100</v>
      </c>
      <c r="Z25" s="73">
        <f>4500*2</f>
        <v>9000</v>
      </c>
      <c r="AA25" s="24"/>
      <c r="AB25" s="24"/>
      <c r="AC25" s="24"/>
      <c r="AD25" s="24"/>
      <c r="AE25" s="24"/>
      <c r="AF25" s="24"/>
      <c r="AG25" s="24"/>
    </row>
    <row r="26" s="23" customFormat="1" ht="13.85" spans="1:33">
      <c r="A26" s="24" t="s">
        <v>25</v>
      </c>
      <c r="B26" s="143" t="s">
        <v>809</v>
      </c>
      <c r="C26" s="23" t="s">
        <v>821</v>
      </c>
      <c r="D26" s="24" t="s">
        <v>863</v>
      </c>
      <c r="E26" s="71">
        <v>46178</v>
      </c>
      <c r="F26" s="24" t="s">
        <v>823</v>
      </c>
      <c r="G26" s="24">
        <v>55</v>
      </c>
      <c r="H26" s="72">
        <v>1350</v>
      </c>
      <c r="I26" s="72">
        <f t="shared" si="10"/>
        <v>74250</v>
      </c>
      <c r="J26" s="24">
        <f>27.5+27.5</f>
        <v>55</v>
      </c>
      <c r="K26" s="24">
        <f t="shared" si="11"/>
        <v>0</v>
      </c>
      <c r="L26" s="151">
        <v>74250</v>
      </c>
      <c r="M26" s="72">
        <f t="shared" si="13"/>
        <v>0</v>
      </c>
      <c r="N26" s="72">
        <f t="shared" si="12"/>
        <v>0</v>
      </c>
      <c r="O26" s="72">
        <v>5</v>
      </c>
      <c r="P26" s="72">
        <f t="shared" si="15"/>
        <v>275</v>
      </c>
      <c r="Q26" s="24">
        <v>6.8177</v>
      </c>
      <c r="R26" s="73">
        <v>9844</v>
      </c>
      <c r="S26" s="73"/>
      <c r="T26" s="73">
        <f t="shared" si="14"/>
        <v>541420</v>
      </c>
      <c r="U26" s="51" t="s">
        <v>814</v>
      </c>
      <c r="V26" s="24" t="s">
        <v>155</v>
      </c>
      <c r="W26" s="23" t="s">
        <v>824</v>
      </c>
      <c r="X26" s="72">
        <f>1200*2</f>
        <v>2400</v>
      </c>
      <c r="Y26" s="72">
        <f>41*2</f>
        <v>82</v>
      </c>
      <c r="Z26" s="73">
        <f>4800*2</f>
        <v>9600</v>
      </c>
      <c r="AA26" s="24"/>
      <c r="AB26" s="24"/>
      <c r="AC26" s="24"/>
      <c r="AD26" s="24"/>
      <c r="AE26" s="24"/>
      <c r="AF26" s="24"/>
      <c r="AG26" s="24"/>
    </row>
    <row r="27" s="23" customFormat="1" ht="13.85" spans="1:33">
      <c r="A27" s="24" t="s">
        <v>25</v>
      </c>
      <c r="B27" s="143" t="s">
        <v>809</v>
      </c>
      <c r="C27" s="23" t="s">
        <v>864</v>
      </c>
      <c r="D27" s="24" t="s">
        <v>865</v>
      </c>
      <c r="E27" s="71">
        <v>46178</v>
      </c>
      <c r="F27" s="24" t="s">
        <v>818</v>
      </c>
      <c r="G27" s="24">
        <v>27.5</v>
      </c>
      <c r="H27" s="72">
        <v>1350</v>
      </c>
      <c r="I27" s="72">
        <f t="shared" si="10"/>
        <v>37125</v>
      </c>
      <c r="J27" s="24">
        <v>27.5</v>
      </c>
      <c r="K27" s="24">
        <f t="shared" si="11"/>
        <v>0</v>
      </c>
      <c r="L27" s="151">
        <f>37125</f>
        <v>37125</v>
      </c>
      <c r="M27" s="72">
        <f t="shared" si="13"/>
        <v>0</v>
      </c>
      <c r="N27" s="72">
        <f t="shared" si="12"/>
        <v>0</v>
      </c>
      <c r="O27" s="72">
        <v>5</v>
      </c>
      <c r="P27" s="72">
        <f t="shared" si="15"/>
        <v>137.5</v>
      </c>
      <c r="Q27" s="24">
        <v>6.8177</v>
      </c>
      <c r="R27" s="73">
        <v>9844</v>
      </c>
      <c r="S27" s="73"/>
      <c r="T27" s="73">
        <f t="shared" si="14"/>
        <v>270710</v>
      </c>
      <c r="U27" s="51" t="s">
        <v>814</v>
      </c>
      <c r="V27" s="24" t="s">
        <v>155</v>
      </c>
      <c r="W27" s="23" t="s">
        <v>815</v>
      </c>
      <c r="X27" s="72">
        <f>1200</f>
        <v>1200</v>
      </c>
      <c r="Y27" s="72">
        <f>41</f>
        <v>41</v>
      </c>
      <c r="Z27" s="73">
        <f>4800</f>
        <v>4800</v>
      </c>
      <c r="AA27" s="24"/>
      <c r="AB27" s="24"/>
      <c r="AC27" s="24"/>
      <c r="AD27" s="24"/>
      <c r="AE27" s="24"/>
      <c r="AF27" s="24"/>
      <c r="AG27" s="24"/>
    </row>
    <row r="28" s="23" customFormat="1" ht="13.85" spans="1:33">
      <c r="A28" s="24" t="s">
        <v>25</v>
      </c>
      <c r="B28" s="143" t="s">
        <v>809</v>
      </c>
      <c r="C28" s="23" t="s">
        <v>864</v>
      </c>
      <c r="D28" s="24" t="s">
        <v>865</v>
      </c>
      <c r="E28" s="71">
        <v>46178</v>
      </c>
      <c r="F28" s="24" t="s">
        <v>812</v>
      </c>
      <c r="G28" s="24">
        <v>27.5</v>
      </c>
      <c r="H28" s="72">
        <v>1350</v>
      </c>
      <c r="I28" s="72">
        <f t="shared" si="10"/>
        <v>37125</v>
      </c>
      <c r="J28" s="24">
        <v>27.5</v>
      </c>
      <c r="K28" s="24">
        <f t="shared" si="11"/>
        <v>0</v>
      </c>
      <c r="L28" s="151">
        <v>37125</v>
      </c>
      <c r="M28" s="72">
        <f t="shared" si="13"/>
        <v>0</v>
      </c>
      <c r="N28" s="72">
        <f t="shared" si="12"/>
        <v>0</v>
      </c>
      <c r="O28" s="72">
        <v>5</v>
      </c>
      <c r="P28" s="72">
        <f t="shared" si="15"/>
        <v>137.5</v>
      </c>
      <c r="Q28" s="24">
        <v>6.8177</v>
      </c>
      <c r="R28" s="73">
        <v>9844</v>
      </c>
      <c r="S28" s="73"/>
      <c r="T28" s="73">
        <f t="shared" si="14"/>
        <v>270710</v>
      </c>
      <c r="U28" s="51" t="s">
        <v>814</v>
      </c>
      <c r="V28" s="24" t="s">
        <v>155</v>
      </c>
      <c r="W28" s="23" t="s">
        <v>815</v>
      </c>
      <c r="X28" s="72">
        <f>1200</f>
        <v>1200</v>
      </c>
      <c r="Y28" s="72">
        <f>41</f>
        <v>41</v>
      </c>
      <c r="Z28" s="73">
        <f>4800</f>
        <v>4800</v>
      </c>
      <c r="AA28" s="24"/>
      <c r="AB28" s="24"/>
      <c r="AC28" s="24"/>
      <c r="AD28" s="24"/>
      <c r="AE28" s="24"/>
      <c r="AF28" s="24"/>
      <c r="AG28" s="24"/>
    </row>
    <row r="29" s="23" customFormat="1" ht="13.85" spans="1:33">
      <c r="A29" s="24" t="s">
        <v>201</v>
      </c>
      <c r="B29" s="143" t="s">
        <v>173</v>
      </c>
      <c r="C29" s="23" t="s">
        <v>866</v>
      </c>
      <c r="D29" s="24" t="s">
        <v>867</v>
      </c>
      <c r="E29" s="71">
        <v>46170</v>
      </c>
      <c r="F29" s="24" t="s">
        <v>818</v>
      </c>
      <c r="G29" s="24">
        <v>27</v>
      </c>
      <c r="H29" s="72">
        <v>1330</v>
      </c>
      <c r="I29" s="72">
        <f t="shared" si="10"/>
        <v>35910</v>
      </c>
      <c r="J29" s="24">
        <v>27</v>
      </c>
      <c r="K29" s="24">
        <f t="shared" si="11"/>
        <v>0</v>
      </c>
      <c r="L29" s="151">
        <f>生物收款!E9+生物收款!E16</f>
        <v>35910</v>
      </c>
      <c r="M29" s="72">
        <f t="shared" si="13"/>
        <v>0</v>
      </c>
      <c r="N29" s="72">
        <f t="shared" si="12"/>
        <v>0</v>
      </c>
      <c r="O29" s="72">
        <v>0</v>
      </c>
      <c r="P29" s="72">
        <f t="shared" si="15"/>
        <v>0</v>
      </c>
      <c r="Q29" s="24">
        <v>6.81</v>
      </c>
      <c r="R29" s="73">
        <v>10000</v>
      </c>
      <c r="S29" s="73">
        <v>9850</v>
      </c>
      <c r="T29" s="73">
        <f t="shared" si="14"/>
        <v>270000</v>
      </c>
      <c r="U29" s="51" t="s">
        <v>845</v>
      </c>
      <c r="V29" s="24" t="s">
        <v>190</v>
      </c>
      <c r="W29" s="23" t="s">
        <v>191</v>
      </c>
      <c r="X29" s="72">
        <v>0</v>
      </c>
      <c r="Y29" s="72">
        <v>0</v>
      </c>
      <c r="Z29" s="73">
        <v>5500</v>
      </c>
      <c r="AA29" s="24"/>
      <c r="AB29" s="24"/>
      <c r="AC29" s="24"/>
      <c r="AD29" s="24"/>
      <c r="AE29" s="24"/>
      <c r="AF29" s="24"/>
      <c r="AG29" s="24"/>
    </row>
    <row r="30" s="23" customFormat="1" ht="13.85" spans="1:33">
      <c r="A30" s="24" t="s">
        <v>201</v>
      </c>
      <c r="B30" s="143" t="s">
        <v>183</v>
      </c>
      <c r="C30" s="23" t="s">
        <v>868</v>
      </c>
      <c r="D30" s="24" t="s">
        <v>869</v>
      </c>
      <c r="E30" s="71">
        <v>46170</v>
      </c>
      <c r="F30" s="24" t="s">
        <v>827</v>
      </c>
      <c r="G30" s="24">
        <v>10</v>
      </c>
      <c r="H30" s="72">
        <v>1370</v>
      </c>
      <c r="I30" s="72">
        <f t="shared" si="10"/>
        <v>13700</v>
      </c>
      <c r="J30" s="24">
        <v>10</v>
      </c>
      <c r="K30" s="24">
        <f t="shared" si="11"/>
        <v>0</v>
      </c>
      <c r="L30" s="151">
        <f>生物收款!E15</f>
        <v>13700</v>
      </c>
      <c r="M30" s="72">
        <f t="shared" si="13"/>
        <v>0</v>
      </c>
      <c r="N30" s="72">
        <f t="shared" si="12"/>
        <v>0</v>
      </c>
      <c r="O30" s="72">
        <v>0</v>
      </c>
      <c r="P30" s="72">
        <f t="shared" si="15"/>
        <v>0</v>
      </c>
      <c r="Q30" s="24">
        <v>6.81</v>
      </c>
      <c r="R30" s="73">
        <v>9971</v>
      </c>
      <c r="S30" s="73">
        <v>9850</v>
      </c>
      <c r="T30" s="73">
        <f t="shared" si="14"/>
        <v>99710</v>
      </c>
      <c r="U30" s="51" t="s">
        <v>845</v>
      </c>
      <c r="V30" s="24" t="s">
        <v>155</v>
      </c>
      <c r="W30" s="23" t="s">
        <v>205</v>
      </c>
      <c r="X30" s="72">
        <f>0</f>
        <v>0</v>
      </c>
      <c r="Y30" s="72">
        <v>15</v>
      </c>
      <c r="Z30" s="73">
        <v>5000</v>
      </c>
      <c r="AA30" s="24"/>
      <c r="AB30" s="24"/>
      <c r="AC30" s="24"/>
      <c r="AD30" s="24"/>
      <c r="AE30" s="24"/>
      <c r="AF30" s="24"/>
      <c r="AG30" s="24"/>
    </row>
    <row r="31" s="23" customFormat="1" ht="13.85" spans="1:33">
      <c r="A31" s="24" t="s">
        <v>25</v>
      </c>
      <c r="B31" s="143" t="s">
        <v>809</v>
      </c>
      <c r="C31" s="23" t="s">
        <v>860</v>
      </c>
      <c r="D31" s="24" t="s">
        <v>870</v>
      </c>
      <c r="E31" s="71">
        <v>46184</v>
      </c>
      <c r="F31" s="24" t="s">
        <v>818</v>
      </c>
      <c r="G31" s="24">
        <v>27.5</v>
      </c>
      <c r="H31" s="72">
        <v>1400</v>
      </c>
      <c r="I31" s="72">
        <f t="shared" si="10"/>
        <v>38500</v>
      </c>
      <c r="J31" s="25">
        <v>27.5</v>
      </c>
      <c r="K31" s="24">
        <f t="shared" si="11"/>
        <v>0</v>
      </c>
      <c r="L31" s="151">
        <v>38500</v>
      </c>
      <c r="M31" s="72">
        <f t="shared" si="13"/>
        <v>0</v>
      </c>
      <c r="N31" s="72">
        <f t="shared" si="12"/>
        <v>0</v>
      </c>
      <c r="O31" s="72">
        <v>10</v>
      </c>
      <c r="P31" s="72">
        <f t="shared" si="15"/>
        <v>275</v>
      </c>
      <c r="Q31" s="24">
        <v>6.7826</v>
      </c>
      <c r="R31" s="73">
        <v>10092</v>
      </c>
      <c r="S31" s="73"/>
      <c r="T31" s="73">
        <f t="shared" si="14"/>
        <v>277530</v>
      </c>
      <c r="U31" s="51" t="s">
        <v>814</v>
      </c>
      <c r="V31" s="24" t="s">
        <v>155</v>
      </c>
      <c r="W31" s="23" t="s">
        <v>824</v>
      </c>
      <c r="X31" s="72">
        <v>1350</v>
      </c>
      <c r="Y31" s="72">
        <v>45</v>
      </c>
      <c r="Z31" s="73">
        <v>5000</v>
      </c>
      <c r="AA31" s="24"/>
      <c r="AB31" s="24"/>
      <c r="AC31" s="24"/>
      <c r="AD31" s="24"/>
      <c r="AE31" s="24"/>
      <c r="AF31" s="24"/>
      <c r="AG31" s="24"/>
    </row>
    <row r="32" s="23" customFormat="1" ht="12" customHeight="1" spans="1:33">
      <c r="A32" s="24" t="s">
        <v>25</v>
      </c>
      <c r="B32" s="143" t="s">
        <v>809</v>
      </c>
      <c r="C32" s="23" t="s">
        <v>860</v>
      </c>
      <c r="D32" s="24" t="s">
        <v>870</v>
      </c>
      <c r="E32" s="71">
        <v>46184</v>
      </c>
      <c r="F32" s="24" t="s">
        <v>812</v>
      </c>
      <c r="G32" s="24">
        <v>27.5</v>
      </c>
      <c r="H32" s="72">
        <v>1400</v>
      </c>
      <c r="I32" s="72">
        <f t="shared" si="10"/>
        <v>38500</v>
      </c>
      <c r="J32" s="25">
        <v>27.5</v>
      </c>
      <c r="K32" s="24">
        <f t="shared" si="11"/>
        <v>0</v>
      </c>
      <c r="L32" s="151">
        <v>38500</v>
      </c>
      <c r="M32" s="72">
        <f t="shared" si="13"/>
        <v>0</v>
      </c>
      <c r="N32" s="72">
        <f t="shared" si="12"/>
        <v>0</v>
      </c>
      <c r="O32" s="72">
        <v>10</v>
      </c>
      <c r="P32" s="72">
        <f t="shared" si="15"/>
        <v>275</v>
      </c>
      <c r="Q32" s="24">
        <v>6.7826</v>
      </c>
      <c r="R32" s="73">
        <v>10092</v>
      </c>
      <c r="S32" s="73"/>
      <c r="T32" s="73">
        <f t="shared" si="14"/>
        <v>277530</v>
      </c>
      <c r="U32" s="51" t="s">
        <v>814</v>
      </c>
      <c r="V32" s="24" t="s">
        <v>155</v>
      </c>
      <c r="W32" s="23" t="s">
        <v>824</v>
      </c>
      <c r="X32" s="72">
        <v>1350</v>
      </c>
      <c r="Y32" s="72">
        <v>45</v>
      </c>
      <c r="Z32" s="73">
        <v>5000</v>
      </c>
      <c r="AA32" s="24"/>
      <c r="AB32" s="24"/>
      <c r="AC32" s="24"/>
      <c r="AD32" s="24"/>
      <c r="AE32" s="24"/>
      <c r="AF32" s="24"/>
      <c r="AG32" s="24"/>
    </row>
    <row r="33" s="23" customFormat="1" ht="13.85" spans="1:33">
      <c r="A33" s="24" t="s">
        <v>25</v>
      </c>
      <c r="B33" s="143" t="s">
        <v>809</v>
      </c>
      <c r="C33" s="23" t="s">
        <v>871</v>
      </c>
      <c r="D33" s="24" t="s">
        <v>872</v>
      </c>
      <c r="E33" s="71">
        <v>46186</v>
      </c>
      <c r="F33" s="24" t="s">
        <v>818</v>
      </c>
      <c r="G33" s="24">
        <v>13.5</v>
      </c>
      <c r="H33" s="72">
        <v>1350</v>
      </c>
      <c r="I33" s="72">
        <f t="shared" si="10"/>
        <v>18225</v>
      </c>
      <c r="J33" s="24">
        <v>13.5</v>
      </c>
      <c r="K33" s="24">
        <f t="shared" si="11"/>
        <v>0</v>
      </c>
      <c r="L33" s="151">
        <v>18225</v>
      </c>
      <c r="M33" s="72">
        <f t="shared" si="13"/>
        <v>0</v>
      </c>
      <c r="N33" s="72">
        <f t="shared" si="12"/>
        <v>0</v>
      </c>
      <c r="O33" s="72">
        <v>0</v>
      </c>
      <c r="P33" s="72">
        <f t="shared" si="15"/>
        <v>0</v>
      </c>
      <c r="Q33" s="24">
        <v>6.7826</v>
      </c>
      <c r="R33" s="73">
        <v>9735</v>
      </c>
      <c r="S33" s="73"/>
      <c r="T33" s="73">
        <f t="shared" si="14"/>
        <v>131422.5</v>
      </c>
      <c r="U33" s="51" t="s">
        <v>814</v>
      </c>
      <c r="V33" s="24" t="s">
        <v>155</v>
      </c>
      <c r="W33" s="23" t="s">
        <v>824</v>
      </c>
      <c r="X33" s="100">
        <v>1500</v>
      </c>
      <c r="Y33" s="100">
        <v>41</v>
      </c>
      <c r="Z33" s="100">
        <v>5000</v>
      </c>
      <c r="AA33" s="24"/>
      <c r="AB33" s="24"/>
      <c r="AC33" s="24"/>
      <c r="AD33" s="24"/>
      <c r="AE33" s="24"/>
      <c r="AF33" s="24"/>
      <c r="AG33" s="24"/>
    </row>
    <row r="34" s="23" customFormat="1" ht="13.85" spans="1:33">
      <c r="A34" s="24" t="s">
        <v>25</v>
      </c>
      <c r="B34" s="143" t="s">
        <v>809</v>
      </c>
      <c r="C34" s="23" t="s">
        <v>871</v>
      </c>
      <c r="D34" s="24" t="s">
        <v>872</v>
      </c>
      <c r="E34" s="71">
        <v>46186</v>
      </c>
      <c r="F34" s="24" t="s">
        <v>812</v>
      </c>
      <c r="G34" s="24">
        <v>14</v>
      </c>
      <c r="H34" s="72">
        <v>1350</v>
      </c>
      <c r="I34" s="72">
        <f t="shared" si="10"/>
        <v>18900</v>
      </c>
      <c r="J34" s="24">
        <v>14</v>
      </c>
      <c r="K34" s="24">
        <f t="shared" si="11"/>
        <v>0</v>
      </c>
      <c r="L34" s="151">
        <v>18900</v>
      </c>
      <c r="M34" s="72">
        <f t="shared" si="13"/>
        <v>0</v>
      </c>
      <c r="N34" s="72">
        <f t="shared" si="12"/>
        <v>0</v>
      </c>
      <c r="O34" s="72">
        <v>0</v>
      </c>
      <c r="P34" s="72">
        <f t="shared" si="15"/>
        <v>0</v>
      </c>
      <c r="Q34" s="24">
        <v>6.7826</v>
      </c>
      <c r="R34" s="73">
        <v>9735</v>
      </c>
      <c r="S34" s="73"/>
      <c r="T34" s="73">
        <f t="shared" si="14"/>
        <v>136290</v>
      </c>
      <c r="U34" s="51" t="s">
        <v>814</v>
      </c>
      <c r="V34" s="24" t="s">
        <v>155</v>
      </c>
      <c r="W34" s="23" t="s">
        <v>824</v>
      </c>
      <c r="X34" s="104"/>
      <c r="Y34" s="104">
        <v>42</v>
      </c>
      <c r="Z34" s="104">
        <v>5001</v>
      </c>
      <c r="AA34" s="24"/>
      <c r="AB34" s="24"/>
      <c r="AC34" s="24"/>
      <c r="AD34" s="24"/>
      <c r="AE34" s="24"/>
      <c r="AF34" s="24"/>
      <c r="AG34" s="24"/>
    </row>
    <row r="35" s="23" customFormat="1" ht="13.85" spans="1:33">
      <c r="A35" s="24" t="s">
        <v>25</v>
      </c>
      <c r="B35" s="143" t="s">
        <v>809</v>
      </c>
      <c r="C35" s="23" t="s">
        <v>821</v>
      </c>
      <c r="D35" s="24" t="s">
        <v>873</v>
      </c>
      <c r="E35" s="71">
        <v>46205</v>
      </c>
      <c r="F35" s="24" t="s">
        <v>823</v>
      </c>
      <c r="G35" s="24">
        <v>110</v>
      </c>
      <c r="H35" s="72">
        <v>1400</v>
      </c>
      <c r="I35" s="72">
        <f t="shared" si="10"/>
        <v>154000</v>
      </c>
      <c r="J35" s="24">
        <v>110</v>
      </c>
      <c r="K35" s="24">
        <f t="shared" si="11"/>
        <v>0</v>
      </c>
      <c r="L35" s="151">
        <f>生物收款!E39</f>
        <v>154000</v>
      </c>
      <c r="M35" s="72">
        <f t="shared" si="13"/>
        <v>0</v>
      </c>
      <c r="N35" s="72">
        <f t="shared" si="12"/>
        <v>0</v>
      </c>
      <c r="O35" s="72">
        <v>10</v>
      </c>
      <c r="P35" s="72">
        <f t="shared" si="15"/>
        <v>1100</v>
      </c>
      <c r="Q35" s="24">
        <v>6.75</v>
      </c>
      <c r="R35" s="73">
        <v>9606</v>
      </c>
      <c r="S35" s="73"/>
      <c r="T35" s="73">
        <f t="shared" si="14"/>
        <v>1056660</v>
      </c>
      <c r="U35" s="51" t="s">
        <v>814</v>
      </c>
      <c r="V35" s="24" t="s">
        <v>155</v>
      </c>
      <c r="W35" s="23" t="s">
        <v>824</v>
      </c>
      <c r="X35" s="104">
        <f>2950*4</f>
        <v>11800</v>
      </c>
      <c r="Y35" s="104">
        <f>43*4</f>
        <v>172</v>
      </c>
      <c r="Z35" s="104">
        <f>4800*4</f>
        <v>19200</v>
      </c>
      <c r="AA35" s="24"/>
      <c r="AB35" s="24"/>
      <c r="AC35" s="24"/>
      <c r="AD35" s="24"/>
      <c r="AE35" s="24"/>
      <c r="AF35" s="24"/>
      <c r="AG35" s="24"/>
    </row>
    <row r="36" s="23" customFormat="1" ht="13.85" spans="1:33">
      <c r="A36" s="24" t="s">
        <v>25</v>
      </c>
      <c r="B36" s="143" t="s">
        <v>809</v>
      </c>
      <c r="C36" s="23" t="s">
        <v>874</v>
      </c>
      <c r="D36" s="24" t="s">
        <v>875</v>
      </c>
      <c r="E36" s="71">
        <v>46240</v>
      </c>
      <c r="F36" s="24" t="s">
        <v>827</v>
      </c>
      <c r="G36" s="24">
        <v>55</v>
      </c>
      <c r="H36" s="72">
        <v>1400</v>
      </c>
      <c r="I36" s="72">
        <f t="shared" si="10"/>
        <v>77000</v>
      </c>
      <c r="J36" s="24">
        <v>55</v>
      </c>
      <c r="K36" s="24">
        <f t="shared" si="11"/>
        <v>0</v>
      </c>
      <c r="L36" s="151">
        <v>0</v>
      </c>
      <c r="M36" s="72">
        <f t="shared" si="13"/>
        <v>77000</v>
      </c>
      <c r="N36" s="72">
        <f t="shared" si="12"/>
        <v>77000</v>
      </c>
      <c r="O36" s="72">
        <v>200</v>
      </c>
      <c r="P36" s="72">
        <f t="shared" si="15"/>
        <v>11000</v>
      </c>
      <c r="Q36" s="24">
        <v>6.75</v>
      </c>
      <c r="R36" s="73">
        <v>8601</v>
      </c>
      <c r="S36" s="73"/>
      <c r="T36" s="73">
        <f t="shared" si="14"/>
        <v>473055</v>
      </c>
      <c r="U36" s="51" t="s">
        <v>814</v>
      </c>
      <c r="V36" s="24" t="s">
        <v>155</v>
      </c>
      <c r="W36" s="23" t="s">
        <v>829</v>
      </c>
      <c r="X36" s="104">
        <f>1950*2</f>
        <v>3900</v>
      </c>
      <c r="Y36" s="104">
        <f>43*2</f>
        <v>86</v>
      </c>
      <c r="Z36" s="104">
        <f>4800*2</f>
        <v>9600</v>
      </c>
      <c r="AA36" s="24"/>
      <c r="AB36" s="24"/>
      <c r="AC36" s="24"/>
      <c r="AD36" s="24"/>
      <c r="AE36" s="24"/>
      <c r="AF36" s="24"/>
      <c r="AG36" s="24"/>
    </row>
    <row r="37" s="23" customFormat="1" ht="13.85" spans="1:33">
      <c r="A37" s="24" t="s">
        <v>25</v>
      </c>
      <c r="B37" s="143" t="s">
        <v>809</v>
      </c>
      <c r="C37" s="23" t="s">
        <v>874</v>
      </c>
      <c r="D37" s="24" t="s">
        <v>875</v>
      </c>
      <c r="E37" s="71">
        <v>46240</v>
      </c>
      <c r="F37" s="24" t="s">
        <v>812</v>
      </c>
      <c r="G37" s="24">
        <v>27.5</v>
      </c>
      <c r="H37" s="72">
        <v>1400</v>
      </c>
      <c r="I37" s="72">
        <f t="shared" si="10"/>
        <v>38500</v>
      </c>
      <c r="J37" s="24">
        <v>27.5</v>
      </c>
      <c r="K37" s="24">
        <f t="shared" si="11"/>
        <v>0</v>
      </c>
      <c r="L37" s="151">
        <v>0</v>
      </c>
      <c r="M37" s="72">
        <f t="shared" si="13"/>
        <v>38500</v>
      </c>
      <c r="N37" s="72">
        <f t="shared" si="12"/>
        <v>38500</v>
      </c>
      <c r="O37" s="72">
        <v>200</v>
      </c>
      <c r="P37" s="72">
        <f t="shared" si="15"/>
        <v>5500</v>
      </c>
      <c r="Q37" s="24">
        <v>6.75</v>
      </c>
      <c r="R37" s="73">
        <v>8601</v>
      </c>
      <c r="S37" s="73"/>
      <c r="T37" s="73">
        <f t="shared" si="14"/>
        <v>236527.5</v>
      </c>
      <c r="U37" s="51" t="s">
        <v>814</v>
      </c>
      <c r="V37" s="24" t="s">
        <v>155</v>
      </c>
      <c r="W37" s="23" t="s">
        <v>829</v>
      </c>
      <c r="X37" s="104">
        <f>1950</f>
        <v>1950</v>
      </c>
      <c r="Y37" s="104">
        <f>43</f>
        <v>43</v>
      </c>
      <c r="Z37" s="104">
        <v>4800</v>
      </c>
      <c r="AA37" s="24"/>
      <c r="AB37" s="24"/>
      <c r="AC37" s="24"/>
      <c r="AD37" s="24"/>
      <c r="AE37" s="24"/>
      <c r="AF37" s="24"/>
      <c r="AG37" s="24"/>
    </row>
    <row r="38" s="23" customFormat="1" ht="13.85" spans="1:33">
      <c r="A38" s="24" t="s">
        <v>150</v>
      </c>
      <c r="B38" s="143" t="s">
        <v>183</v>
      </c>
      <c r="C38" s="23" t="s">
        <v>836</v>
      </c>
      <c r="D38" s="24" t="s">
        <v>876</v>
      </c>
      <c r="E38" s="71">
        <v>46244</v>
      </c>
      <c r="F38" s="24" t="s">
        <v>827</v>
      </c>
      <c r="G38" s="24">
        <v>1</v>
      </c>
      <c r="H38" s="72">
        <v>1340</v>
      </c>
      <c r="I38" s="72">
        <f t="shared" si="10"/>
        <v>1340</v>
      </c>
      <c r="J38" s="24">
        <v>1</v>
      </c>
      <c r="K38" s="24">
        <f t="shared" si="11"/>
        <v>0</v>
      </c>
      <c r="L38" s="151">
        <f>生物收款!E18</f>
        <v>1340</v>
      </c>
      <c r="M38" s="72">
        <f t="shared" si="13"/>
        <v>0</v>
      </c>
      <c r="N38" s="72">
        <f t="shared" si="12"/>
        <v>0</v>
      </c>
      <c r="O38" s="72">
        <v>0</v>
      </c>
      <c r="P38" s="72">
        <f t="shared" si="15"/>
        <v>0</v>
      </c>
      <c r="Q38" s="24">
        <v>6.78</v>
      </c>
      <c r="R38" s="73">
        <v>8729</v>
      </c>
      <c r="S38" s="73">
        <v>8602</v>
      </c>
      <c r="T38" s="73">
        <f t="shared" si="14"/>
        <v>8729</v>
      </c>
      <c r="U38" s="51" t="s">
        <v>877</v>
      </c>
      <c r="V38" s="24" t="s">
        <v>155</v>
      </c>
      <c r="W38" s="23" t="s">
        <v>205</v>
      </c>
      <c r="X38" s="104">
        <f>0</f>
        <v>0</v>
      </c>
      <c r="Y38" s="104">
        <v>10</v>
      </c>
      <c r="Z38" s="104">
        <v>1400</v>
      </c>
      <c r="AA38" s="24"/>
      <c r="AB38" s="24"/>
      <c r="AC38" s="24"/>
      <c r="AD38" s="24"/>
      <c r="AE38" s="24"/>
      <c r="AF38" s="24"/>
      <c r="AG38" s="24"/>
    </row>
    <row r="39" s="23" customFormat="1" ht="13.85" spans="1:33">
      <c r="A39" s="24" t="s">
        <v>150</v>
      </c>
      <c r="B39" s="143" t="s">
        <v>852</v>
      </c>
      <c r="C39" s="23" t="s">
        <v>839</v>
      </c>
      <c r="D39" s="24" t="s">
        <v>878</v>
      </c>
      <c r="E39" s="71">
        <v>46265</v>
      </c>
      <c r="F39" s="24" t="s">
        <v>806</v>
      </c>
      <c r="G39" s="24">
        <v>93.6</v>
      </c>
      <c r="H39" s="72">
        <v>1085</v>
      </c>
      <c r="I39" s="72">
        <f t="shared" si="10"/>
        <v>101556</v>
      </c>
      <c r="J39" s="24">
        <v>93.6</v>
      </c>
      <c r="K39" s="24">
        <f t="shared" si="11"/>
        <v>0</v>
      </c>
      <c r="L39" s="151">
        <v>0</v>
      </c>
      <c r="M39" s="72">
        <f t="shared" si="13"/>
        <v>101556</v>
      </c>
      <c r="N39" s="72">
        <f t="shared" si="12"/>
        <v>101556</v>
      </c>
      <c r="O39" s="72">
        <v>0</v>
      </c>
      <c r="P39" s="72">
        <f t="shared" si="15"/>
        <v>0</v>
      </c>
      <c r="Q39" s="24">
        <v>6.78</v>
      </c>
      <c r="R39" s="73">
        <v>6957</v>
      </c>
      <c r="S39" s="73">
        <v>6600</v>
      </c>
      <c r="T39" s="73">
        <f t="shared" si="14"/>
        <v>651175.2</v>
      </c>
      <c r="U39" s="51" t="s">
        <v>841</v>
      </c>
      <c r="V39" s="24" t="s">
        <v>155</v>
      </c>
      <c r="W39" s="23" t="s">
        <v>820</v>
      </c>
      <c r="X39" s="104">
        <f>4*600</f>
        <v>2400</v>
      </c>
      <c r="Y39" s="104">
        <f>4*40</f>
        <v>160</v>
      </c>
      <c r="Z39" s="104">
        <f>4*5000</f>
        <v>20000</v>
      </c>
      <c r="AA39" s="24"/>
      <c r="AB39" s="24"/>
      <c r="AC39" s="24"/>
      <c r="AD39" s="24"/>
      <c r="AE39" s="24"/>
      <c r="AF39" s="24"/>
      <c r="AG39" s="24"/>
    </row>
    <row r="40" s="23" customFormat="1" ht="13.85" spans="1:33">
      <c r="A40" s="24" t="s">
        <v>25</v>
      </c>
      <c r="B40" s="143" t="s">
        <v>809</v>
      </c>
      <c r="C40" s="23" t="s">
        <v>860</v>
      </c>
      <c r="D40" s="24" t="s">
        <v>879</v>
      </c>
      <c r="E40" s="71">
        <v>46256</v>
      </c>
      <c r="F40" s="24" t="s">
        <v>827</v>
      </c>
      <c r="G40" s="24">
        <v>27.5</v>
      </c>
      <c r="H40" s="72">
        <v>1240</v>
      </c>
      <c r="I40" s="72">
        <f t="shared" si="10"/>
        <v>34100</v>
      </c>
      <c r="J40" s="24">
        <v>27.5</v>
      </c>
      <c r="K40" s="24">
        <f t="shared" si="11"/>
        <v>0</v>
      </c>
      <c r="L40" s="151">
        <v>0</v>
      </c>
      <c r="M40" s="72">
        <f t="shared" si="13"/>
        <v>34100</v>
      </c>
      <c r="N40" s="72">
        <f t="shared" si="12"/>
        <v>34100</v>
      </c>
      <c r="O40" s="72">
        <v>10</v>
      </c>
      <c r="P40" s="72">
        <f t="shared" si="15"/>
        <v>275</v>
      </c>
      <c r="Q40" s="24">
        <v>6.7537</v>
      </c>
      <c r="R40" s="73">
        <v>8648</v>
      </c>
      <c r="S40" s="73"/>
      <c r="T40" s="73">
        <f t="shared" si="14"/>
        <v>237820</v>
      </c>
      <c r="U40" s="51" t="s">
        <v>814</v>
      </c>
      <c r="V40" s="24" t="s">
        <v>155</v>
      </c>
      <c r="W40" s="23" t="s">
        <v>824</v>
      </c>
      <c r="X40" s="104">
        <v>2000</v>
      </c>
      <c r="Y40" s="104">
        <v>37</v>
      </c>
      <c r="Z40" s="104">
        <v>5000</v>
      </c>
      <c r="AA40" s="24"/>
      <c r="AB40" s="24"/>
      <c r="AC40" s="24"/>
      <c r="AD40" s="24"/>
      <c r="AE40" s="24"/>
      <c r="AF40" s="24"/>
      <c r="AG40" s="24"/>
    </row>
    <row r="41" s="23" customFormat="1" ht="13.85" spans="1:33">
      <c r="A41" s="24" t="s">
        <v>25</v>
      </c>
      <c r="B41" s="143" t="s">
        <v>164</v>
      </c>
      <c r="C41" s="23" t="s">
        <v>833</v>
      </c>
      <c r="D41" s="24" t="s">
        <v>880</v>
      </c>
      <c r="E41" s="71">
        <v>46256</v>
      </c>
      <c r="F41" s="24" t="s">
        <v>812</v>
      </c>
      <c r="G41" s="24">
        <v>27.5</v>
      </c>
      <c r="H41" s="72">
        <v>1230</v>
      </c>
      <c r="I41" s="72">
        <f t="shared" si="10"/>
        <v>33825</v>
      </c>
      <c r="J41" s="24">
        <v>27.5</v>
      </c>
      <c r="K41" s="24">
        <f t="shared" si="11"/>
        <v>0</v>
      </c>
      <c r="L41" s="151">
        <f>生物收款!E22+20335</f>
        <v>33825</v>
      </c>
      <c r="M41" s="72">
        <f t="shared" si="13"/>
        <v>0</v>
      </c>
      <c r="N41" s="72">
        <f t="shared" si="12"/>
        <v>0</v>
      </c>
      <c r="O41" s="72">
        <v>0</v>
      </c>
      <c r="P41" s="72">
        <f t="shared" si="15"/>
        <v>0</v>
      </c>
      <c r="Q41" s="24">
        <v>6.7537</v>
      </c>
      <c r="R41" s="73">
        <v>8639</v>
      </c>
      <c r="S41" s="73"/>
      <c r="T41" s="73">
        <f t="shared" si="14"/>
        <v>237572.5</v>
      </c>
      <c r="U41" s="51" t="s">
        <v>814</v>
      </c>
      <c r="V41" s="24" t="s">
        <v>155</v>
      </c>
      <c r="W41" s="23" t="s">
        <v>835</v>
      </c>
      <c r="X41" s="104">
        <v>2000</v>
      </c>
      <c r="Y41" s="104">
        <v>37</v>
      </c>
      <c r="Z41" s="104">
        <v>5000</v>
      </c>
      <c r="AA41" s="24"/>
      <c r="AB41" s="24"/>
      <c r="AC41" s="24"/>
      <c r="AD41" s="24"/>
      <c r="AE41" s="24"/>
      <c r="AF41" s="24"/>
      <c r="AG41" s="24"/>
    </row>
    <row r="42" s="23" customFormat="1" ht="13.85" spans="1:33">
      <c r="A42" s="24" t="s">
        <v>25</v>
      </c>
      <c r="B42" s="143" t="s">
        <v>164</v>
      </c>
      <c r="C42" s="23" t="s">
        <v>833</v>
      </c>
      <c r="D42" s="24" t="s">
        <v>880</v>
      </c>
      <c r="E42" s="71">
        <v>46256</v>
      </c>
      <c r="F42" s="24" t="s">
        <v>818</v>
      </c>
      <c r="G42" s="24">
        <v>27.5</v>
      </c>
      <c r="H42" s="72">
        <v>1230</v>
      </c>
      <c r="I42" s="72">
        <f t="shared" si="10"/>
        <v>33825</v>
      </c>
      <c r="J42" s="24">
        <v>27.5</v>
      </c>
      <c r="K42" s="24">
        <f t="shared" si="11"/>
        <v>0</v>
      </c>
      <c r="L42" s="151">
        <f>54075-20335</f>
        <v>33740</v>
      </c>
      <c r="M42" s="72">
        <f t="shared" si="13"/>
        <v>85</v>
      </c>
      <c r="N42" s="72">
        <f t="shared" si="12"/>
        <v>85</v>
      </c>
      <c r="O42" s="72">
        <v>0</v>
      </c>
      <c r="P42" s="72">
        <f t="shared" si="15"/>
        <v>0</v>
      </c>
      <c r="Q42" s="24">
        <v>6.7537</v>
      </c>
      <c r="R42" s="73">
        <v>8639</v>
      </c>
      <c r="S42" s="73"/>
      <c r="T42" s="73">
        <f t="shared" si="14"/>
        <v>237572.5</v>
      </c>
      <c r="U42" s="51" t="s">
        <v>814</v>
      </c>
      <c r="V42" s="24" t="s">
        <v>155</v>
      </c>
      <c r="W42" s="23" t="s">
        <v>835</v>
      </c>
      <c r="X42" s="104">
        <v>2000</v>
      </c>
      <c r="Y42" s="104">
        <v>37</v>
      </c>
      <c r="Z42" s="104">
        <v>5000</v>
      </c>
      <c r="AA42" s="24"/>
      <c r="AB42" s="24"/>
      <c r="AC42" s="24"/>
      <c r="AD42" s="24"/>
      <c r="AE42" s="24"/>
      <c r="AF42" s="24"/>
      <c r="AG42" s="24"/>
    </row>
    <row r="43" s="23" customFormat="1" ht="13.85" spans="1:33">
      <c r="A43" s="24" t="s">
        <v>25</v>
      </c>
      <c r="B43" s="143" t="s">
        <v>809</v>
      </c>
      <c r="C43" s="23" t="s">
        <v>871</v>
      </c>
      <c r="D43" s="24" t="s">
        <v>881</v>
      </c>
      <c r="E43" s="71">
        <v>46257</v>
      </c>
      <c r="F43" s="24" t="s">
        <v>818</v>
      </c>
      <c r="G43" s="24">
        <v>27.5</v>
      </c>
      <c r="H43" s="72">
        <v>1240</v>
      </c>
      <c r="I43" s="72">
        <f t="shared" si="10"/>
        <v>34100</v>
      </c>
      <c r="J43" s="24">
        <v>27.5</v>
      </c>
      <c r="K43" s="24">
        <f t="shared" si="11"/>
        <v>0</v>
      </c>
      <c r="L43" s="151">
        <v>0</v>
      </c>
      <c r="M43" s="72">
        <f t="shared" si="13"/>
        <v>34100</v>
      </c>
      <c r="N43" s="72">
        <f t="shared" si="12"/>
        <v>34100</v>
      </c>
      <c r="O43" s="72">
        <v>10</v>
      </c>
      <c r="P43" s="72">
        <f t="shared" si="15"/>
        <v>275</v>
      </c>
      <c r="Q43" s="24">
        <v>6.7537</v>
      </c>
      <c r="R43" s="73">
        <v>8648</v>
      </c>
      <c r="S43" s="73"/>
      <c r="T43" s="73">
        <f t="shared" si="14"/>
        <v>237820</v>
      </c>
      <c r="U43" s="51" t="s">
        <v>814</v>
      </c>
      <c r="V43" s="24" t="s">
        <v>155</v>
      </c>
      <c r="W43" s="23" t="s">
        <v>824</v>
      </c>
      <c r="X43" s="104">
        <f t="shared" ref="X43:X47" si="16">2000</f>
        <v>2000</v>
      </c>
      <c r="Y43" s="104">
        <v>37</v>
      </c>
      <c r="Z43" s="104">
        <v>5000</v>
      </c>
      <c r="AA43" s="24"/>
      <c r="AB43" s="24"/>
      <c r="AC43" s="24"/>
      <c r="AD43" s="24"/>
      <c r="AE43" s="24"/>
      <c r="AF43" s="24"/>
      <c r="AG43" s="24"/>
    </row>
    <row r="44" s="23" customFormat="1" ht="13.85" spans="1:33">
      <c r="A44" s="24" t="s">
        <v>25</v>
      </c>
      <c r="B44" s="143" t="s">
        <v>809</v>
      </c>
      <c r="C44" s="23" t="s">
        <v>871</v>
      </c>
      <c r="D44" s="24" t="s">
        <v>881</v>
      </c>
      <c r="E44" s="71">
        <v>46257</v>
      </c>
      <c r="F44" s="24" t="s">
        <v>812</v>
      </c>
      <c r="G44" s="24">
        <v>27.5</v>
      </c>
      <c r="H44" s="72">
        <v>1240</v>
      </c>
      <c r="I44" s="72">
        <f t="shared" si="10"/>
        <v>34100</v>
      </c>
      <c r="J44" s="24">
        <v>27.5</v>
      </c>
      <c r="K44" s="24">
        <f t="shared" si="11"/>
        <v>0</v>
      </c>
      <c r="L44" s="151">
        <v>0</v>
      </c>
      <c r="M44" s="72">
        <f t="shared" si="13"/>
        <v>34100</v>
      </c>
      <c r="N44" s="72">
        <f t="shared" si="12"/>
        <v>34100</v>
      </c>
      <c r="O44" s="72">
        <v>10</v>
      </c>
      <c r="P44" s="72">
        <f t="shared" si="15"/>
        <v>275</v>
      </c>
      <c r="Q44" s="24">
        <v>6.7537</v>
      </c>
      <c r="R44" s="73">
        <v>8648</v>
      </c>
      <c r="S44" s="73"/>
      <c r="T44" s="73">
        <f t="shared" si="14"/>
        <v>237820</v>
      </c>
      <c r="U44" s="51" t="s">
        <v>814</v>
      </c>
      <c r="V44" s="24" t="s">
        <v>155</v>
      </c>
      <c r="W44" s="23" t="s">
        <v>824</v>
      </c>
      <c r="X44" s="104">
        <f t="shared" si="16"/>
        <v>2000</v>
      </c>
      <c r="Y44" s="104">
        <v>37</v>
      </c>
      <c r="Z44" s="104">
        <v>5000</v>
      </c>
      <c r="AA44" s="24"/>
      <c r="AB44" s="24"/>
      <c r="AC44" s="24"/>
      <c r="AD44" s="24"/>
      <c r="AE44" s="24"/>
      <c r="AF44" s="24"/>
      <c r="AG44" s="24"/>
    </row>
    <row r="45" s="23" customFormat="1" ht="13.85" spans="1:33">
      <c r="A45" s="24" t="s">
        <v>25</v>
      </c>
      <c r="B45" s="143" t="s">
        <v>809</v>
      </c>
      <c r="C45" s="23" t="s">
        <v>864</v>
      </c>
      <c r="D45" s="24" t="s">
        <v>882</v>
      </c>
      <c r="E45" s="71">
        <v>46257</v>
      </c>
      <c r="F45" s="24" t="s">
        <v>818</v>
      </c>
      <c r="G45" s="24">
        <v>55</v>
      </c>
      <c r="H45" s="72">
        <v>1240</v>
      </c>
      <c r="I45" s="72">
        <f t="shared" si="10"/>
        <v>68200</v>
      </c>
      <c r="J45" s="110">
        <v>55</v>
      </c>
      <c r="K45" s="110">
        <f t="shared" si="11"/>
        <v>0</v>
      </c>
      <c r="L45" s="151">
        <v>0</v>
      </c>
      <c r="M45" s="72">
        <f t="shared" si="13"/>
        <v>68200</v>
      </c>
      <c r="N45" s="72">
        <f t="shared" si="12"/>
        <v>68200</v>
      </c>
      <c r="O45" s="72">
        <v>10</v>
      </c>
      <c r="P45" s="72">
        <f t="shared" si="15"/>
        <v>550</v>
      </c>
      <c r="Q45" s="24">
        <v>6.7537</v>
      </c>
      <c r="R45" s="73">
        <v>8648</v>
      </c>
      <c r="S45" s="73"/>
      <c r="T45" s="73">
        <f t="shared" si="14"/>
        <v>475640</v>
      </c>
      <c r="U45" s="51" t="s">
        <v>814</v>
      </c>
      <c r="V45" s="24" t="s">
        <v>155</v>
      </c>
      <c r="W45" s="23" t="s">
        <v>824</v>
      </c>
      <c r="X45" s="104">
        <f t="shared" si="16"/>
        <v>2000</v>
      </c>
      <c r="Y45" s="104">
        <v>37</v>
      </c>
      <c r="Z45" s="104">
        <v>5000</v>
      </c>
      <c r="AA45" s="24"/>
      <c r="AB45" s="24"/>
      <c r="AC45" s="24"/>
      <c r="AD45" s="24"/>
      <c r="AE45" s="24"/>
      <c r="AF45" s="24"/>
      <c r="AG45" s="24"/>
    </row>
    <row r="46" s="23" customFormat="1" ht="13.85" spans="1:33">
      <c r="A46" s="24" t="s">
        <v>25</v>
      </c>
      <c r="B46" s="143" t="s">
        <v>809</v>
      </c>
      <c r="C46" s="23" t="s">
        <v>821</v>
      </c>
      <c r="D46" s="24" t="s">
        <v>883</v>
      </c>
      <c r="E46" s="71">
        <v>46257</v>
      </c>
      <c r="F46" s="24" t="s">
        <v>823</v>
      </c>
      <c r="G46" s="24">
        <v>55</v>
      </c>
      <c r="H46" s="72">
        <v>1240</v>
      </c>
      <c r="I46" s="72">
        <f t="shared" si="10"/>
        <v>68200</v>
      </c>
      <c r="J46" s="24">
        <v>55</v>
      </c>
      <c r="K46" s="24">
        <f t="shared" si="11"/>
        <v>0</v>
      </c>
      <c r="L46" s="151">
        <v>0</v>
      </c>
      <c r="M46" s="72">
        <f t="shared" si="13"/>
        <v>68200</v>
      </c>
      <c r="N46" s="72">
        <f t="shared" si="12"/>
        <v>68200</v>
      </c>
      <c r="O46" s="72">
        <v>10</v>
      </c>
      <c r="P46" s="72">
        <f t="shared" si="15"/>
        <v>550</v>
      </c>
      <c r="Q46" s="24">
        <v>6.7537</v>
      </c>
      <c r="R46" s="73">
        <v>8648</v>
      </c>
      <c r="S46" s="73"/>
      <c r="T46" s="73">
        <f t="shared" si="14"/>
        <v>475640</v>
      </c>
      <c r="U46" s="51" t="s">
        <v>814</v>
      </c>
      <c r="V46" s="24" t="s">
        <v>155</v>
      </c>
      <c r="W46" s="23" t="s">
        <v>824</v>
      </c>
      <c r="X46" s="104">
        <f t="shared" si="16"/>
        <v>2000</v>
      </c>
      <c r="Y46" s="104">
        <v>37</v>
      </c>
      <c r="Z46" s="104">
        <v>5000</v>
      </c>
      <c r="AA46" s="24"/>
      <c r="AB46" s="24"/>
      <c r="AC46" s="24"/>
      <c r="AD46" s="24"/>
      <c r="AE46" s="24"/>
      <c r="AF46" s="24"/>
      <c r="AG46" s="24"/>
    </row>
    <row r="47" s="23" customFormat="1" ht="13.85" spans="1:33">
      <c r="A47" s="24" t="s">
        <v>25</v>
      </c>
      <c r="B47" s="143" t="s">
        <v>809</v>
      </c>
      <c r="C47" s="23" t="s">
        <v>810</v>
      </c>
      <c r="D47" s="24" t="s">
        <v>884</v>
      </c>
      <c r="E47" s="68">
        <v>46295</v>
      </c>
      <c r="F47" s="24" t="s">
        <v>812</v>
      </c>
      <c r="G47" s="24">
        <v>55</v>
      </c>
      <c r="H47" s="72">
        <v>1240</v>
      </c>
      <c r="I47" s="72">
        <f t="shared" si="10"/>
        <v>68200</v>
      </c>
      <c r="J47" s="24">
        <v>55</v>
      </c>
      <c r="K47" s="24">
        <f t="shared" si="11"/>
        <v>0</v>
      </c>
      <c r="L47" s="151">
        <v>0</v>
      </c>
      <c r="M47" s="72">
        <f t="shared" si="13"/>
        <v>68200</v>
      </c>
      <c r="N47" s="72">
        <f t="shared" si="12"/>
        <v>68200</v>
      </c>
      <c r="O47" s="72">
        <v>10</v>
      </c>
      <c r="P47" s="72">
        <f t="shared" si="15"/>
        <v>550</v>
      </c>
      <c r="Q47" s="24">
        <v>6.7537</v>
      </c>
      <c r="R47" s="73">
        <v>8648</v>
      </c>
      <c r="S47" s="73"/>
      <c r="T47" s="73">
        <f t="shared" si="14"/>
        <v>475640</v>
      </c>
      <c r="U47" s="51" t="s">
        <v>814</v>
      </c>
      <c r="V47" s="24" t="s">
        <v>155</v>
      </c>
      <c r="W47" s="23" t="s">
        <v>829</v>
      </c>
      <c r="X47" s="104">
        <f t="shared" si="16"/>
        <v>2000</v>
      </c>
      <c r="Y47" s="104">
        <v>37</v>
      </c>
      <c r="Z47" s="104">
        <v>5000</v>
      </c>
      <c r="AA47" s="24"/>
      <c r="AB47" s="24"/>
      <c r="AC47" s="24"/>
      <c r="AD47" s="24"/>
      <c r="AE47" s="24"/>
      <c r="AF47" s="24"/>
      <c r="AG47" s="24"/>
    </row>
    <row r="48" s="23" customFormat="1" ht="13.85" spans="1:33">
      <c r="A48" s="24" t="s">
        <v>25</v>
      </c>
      <c r="B48" s="143" t="s">
        <v>164</v>
      </c>
      <c r="C48" s="23" t="s">
        <v>833</v>
      </c>
      <c r="D48" s="24" t="s">
        <v>885</v>
      </c>
      <c r="E48" s="71">
        <v>46265</v>
      </c>
      <c r="F48" s="24" t="s">
        <v>812</v>
      </c>
      <c r="G48" s="24">
        <v>27.5</v>
      </c>
      <c r="H48" s="72">
        <v>1240</v>
      </c>
      <c r="I48" s="72">
        <f t="shared" si="10"/>
        <v>34100</v>
      </c>
      <c r="J48" s="25">
        <v>27.5</v>
      </c>
      <c r="K48" s="24">
        <f t="shared" si="11"/>
        <v>0</v>
      </c>
      <c r="L48" s="151">
        <f>生物收款!E24+16895</f>
        <v>29615</v>
      </c>
      <c r="M48" s="72">
        <f t="shared" si="13"/>
        <v>4485</v>
      </c>
      <c r="N48" s="72">
        <f t="shared" si="12"/>
        <v>4485</v>
      </c>
      <c r="O48" s="82" t="s">
        <v>886</v>
      </c>
      <c r="P48" s="89"/>
      <c r="Q48" s="24">
        <v>6.7397</v>
      </c>
      <c r="R48" s="73">
        <v>8637</v>
      </c>
      <c r="S48" s="73"/>
      <c r="T48" s="73">
        <f t="shared" si="14"/>
        <v>237517.5</v>
      </c>
      <c r="U48" s="51" t="s">
        <v>814</v>
      </c>
      <c r="V48" s="24" t="s">
        <v>155</v>
      </c>
      <c r="W48" s="23" t="s">
        <v>835</v>
      </c>
      <c r="X48" s="102">
        <f>2215*2</f>
        <v>4430</v>
      </c>
      <c r="Y48" s="102">
        <f>38*2</f>
        <v>76</v>
      </c>
      <c r="Z48" s="102">
        <f>5000*2</f>
        <v>10000</v>
      </c>
      <c r="AA48" s="24"/>
      <c r="AB48" s="24"/>
      <c r="AC48" s="24"/>
      <c r="AD48" s="24"/>
      <c r="AE48" s="24"/>
      <c r="AF48" s="24"/>
      <c r="AG48" s="24"/>
    </row>
    <row r="49" s="23" customFormat="1" ht="13.85" spans="1:33">
      <c r="A49" s="24" t="s">
        <v>25</v>
      </c>
      <c r="B49" s="143" t="s">
        <v>164</v>
      </c>
      <c r="C49" s="23" t="s">
        <v>833</v>
      </c>
      <c r="D49" s="24" t="s">
        <v>885</v>
      </c>
      <c r="E49" s="71">
        <v>46265</v>
      </c>
      <c r="F49" s="24" t="s">
        <v>818</v>
      </c>
      <c r="G49" s="24">
        <v>27.5</v>
      </c>
      <c r="H49" s="72">
        <v>1240</v>
      </c>
      <c r="I49" s="72">
        <f t="shared" si="10"/>
        <v>34100</v>
      </c>
      <c r="J49" s="25">
        <v>27.5</v>
      </c>
      <c r="K49" s="24">
        <f t="shared" si="11"/>
        <v>0</v>
      </c>
      <c r="L49" s="151">
        <f>生物收款!E40-16895</f>
        <v>34100</v>
      </c>
      <c r="M49" s="72">
        <f t="shared" si="13"/>
        <v>0</v>
      </c>
      <c r="N49" s="72">
        <f t="shared" si="12"/>
        <v>0</v>
      </c>
      <c r="O49" s="84"/>
      <c r="P49" s="92"/>
      <c r="Q49" s="24">
        <v>6.7397</v>
      </c>
      <c r="R49" s="73">
        <v>8637</v>
      </c>
      <c r="S49" s="73"/>
      <c r="T49" s="73">
        <f t="shared" si="14"/>
        <v>237517.5</v>
      </c>
      <c r="U49" s="51" t="s">
        <v>814</v>
      </c>
      <c r="V49" s="24" t="s">
        <v>155</v>
      </c>
      <c r="W49" s="23" t="s">
        <v>835</v>
      </c>
      <c r="X49" s="104"/>
      <c r="Y49" s="104"/>
      <c r="Z49" s="104"/>
      <c r="AA49" s="24"/>
      <c r="AB49" s="24"/>
      <c r="AC49" s="24"/>
      <c r="AD49" s="24"/>
      <c r="AE49" s="24"/>
      <c r="AF49" s="24"/>
      <c r="AG49" s="24"/>
    </row>
    <row r="50" s="23" customFormat="1" ht="13.85" spans="1:33">
      <c r="A50" s="24" t="s">
        <v>25</v>
      </c>
      <c r="B50" s="143" t="s">
        <v>809</v>
      </c>
      <c r="C50" s="23" t="s">
        <v>887</v>
      </c>
      <c r="D50" s="24" t="s">
        <v>888</v>
      </c>
      <c r="E50" s="68">
        <v>46295</v>
      </c>
      <c r="F50" s="24" t="s">
        <v>812</v>
      </c>
      <c r="G50" s="24">
        <v>27.5</v>
      </c>
      <c r="H50" s="72">
        <v>1260</v>
      </c>
      <c r="I50" s="72">
        <f t="shared" si="10"/>
        <v>34650</v>
      </c>
      <c r="J50" s="25">
        <v>27.5</v>
      </c>
      <c r="K50" s="24">
        <f t="shared" si="11"/>
        <v>0</v>
      </c>
      <c r="L50" s="151">
        <v>0</v>
      </c>
      <c r="M50" s="72">
        <f t="shared" si="13"/>
        <v>34650</v>
      </c>
      <c r="N50" s="72">
        <f t="shared" si="12"/>
        <v>34650</v>
      </c>
      <c r="O50" s="84">
        <v>10</v>
      </c>
      <c r="P50" s="92">
        <f t="shared" ref="P50:P63" si="17">O50*G50</f>
        <v>275</v>
      </c>
      <c r="Q50" s="24">
        <v>6.7345</v>
      </c>
      <c r="R50" s="73">
        <v>8650</v>
      </c>
      <c r="S50" s="73"/>
      <c r="T50" s="73">
        <f t="shared" si="14"/>
        <v>237875</v>
      </c>
      <c r="U50" s="51" t="s">
        <v>814</v>
      </c>
      <c r="V50" s="24" t="s">
        <v>155</v>
      </c>
      <c r="W50" s="23" t="s">
        <v>829</v>
      </c>
      <c r="X50" s="104">
        <v>2450</v>
      </c>
      <c r="Y50" s="104">
        <v>38</v>
      </c>
      <c r="Z50" s="104">
        <v>5000</v>
      </c>
      <c r="AA50" s="24"/>
      <c r="AB50" s="24"/>
      <c r="AC50" s="24"/>
      <c r="AD50" s="24"/>
      <c r="AE50" s="24"/>
      <c r="AF50" s="24"/>
      <c r="AG50" s="24"/>
    </row>
    <row r="51" s="23" customFormat="1" ht="13.85" spans="1:33">
      <c r="A51" s="24" t="s">
        <v>150</v>
      </c>
      <c r="B51" s="143" t="s">
        <v>183</v>
      </c>
      <c r="C51" s="23" t="s">
        <v>847</v>
      </c>
      <c r="D51" s="24" t="s">
        <v>889</v>
      </c>
      <c r="E51" s="71">
        <v>46276</v>
      </c>
      <c r="F51" s="24" t="s">
        <v>818</v>
      </c>
      <c r="G51" s="24">
        <v>54</v>
      </c>
      <c r="H51" s="72">
        <v>1390</v>
      </c>
      <c r="I51" s="72">
        <f t="shared" si="10"/>
        <v>75060</v>
      </c>
      <c r="J51" s="24">
        <v>54</v>
      </c>
      <c r="K51" s="24">
        <f t="shared" si="11"/>
        <v>0</v>
      </c>
      <c r="L51" s="151">
        <f>生物收款!E31</f>
        <v>75060</v>
      </c>
      <c r="M51" s="72">
        <f t="shared" si="13"/>
        <v>0</v>
      </c>
      <c r="N51" s="72">
        <f t="shared" si="12"/>
        <v>0</v>
      </c>
      <c r="O51" s="84">
        <v>30</v>
      </c>
      <c r="P51" s="92">
        <f t="shared" si="17"/>
        <v>1620</v>
      </c>
      <c r="Q51" s="24">
        <v>6.73</v>
      </c>
      <c r="R51" s="73">
        <v>8726</v>
      </c>
      <c r="S51" s="73"/>
      <c r="T51" s="73">
        <f t="shared" si="14"/>
        <v>471204</v>
      </c>
      <c r="U51" s="51" t="s">
        <v>850</v>
      </c>
      <c r="V51" s="24" t="s">
        <v>155</v>
      </c>
      <c r="W51" s="23" t="s">
        <v>851</v>
      </c>
      <c r="X51" s="104">
        <f>2*5000</f>
        <v>10000</v>
      </c>
      <c r="Y51" s="104">
        <f>2*50</f>
        <v>100</v>
      </c>
      <c r="Z51" s="104">
        <f>2*5000</f>
        <v>10000</v>
      </c>
      <c r="AA51" s="24"/>
      <c r="AB51" s="24"/>
      <c r="AC51" s="24"/>
      <c r="AD51" s="24"/>
      <c r="AE51" s="24"/>
      <c r="AF51" s="24"/>
      <c r="AG51" s="24"/>
    </row>
    <row r="52" s="23" customFormat="1" ht="13.85" spans="1:33">
      <c r="A52" s="24" t="s">
        <v>25</v>
      </c>
      <c r="B52" s="143" t="s">
        <v>809</v>
      </c>
      <c r="C52" s="23" t="s">
        <v>874</v>
      </c>
      <c r="D52" s="24" t="s">
        <v>890</v>
      </c>
      <c r="E52" s="68">
        <v>46295</v>
      </c>
      <c r="F52" s="24" t="s">
        <v>827</v>
      </c>
      <c r="G52" s="24">
        <v>55</v>
      </c>
      <c r="H52" s="72">
        <v>1260</v>
      </c>
      <c r="I52" s="72">
        <f t="shared" si="10"/>
        <v>69300</v>
      </c>
      <c r="J52" s="24">
        <v>55</v>
      </c>
      <c r="K52" s="24">
        <f t="shared" si="11"/>
        <v>0</v>
      </c>
      <c r="L52" s="151">
        <v>0</v>
      </c>
      <c r="M52" s="72">
        <f t="shared" si="13"/>
        <v>69300</v>
      </c>
      <c r="N52" s="72">
        <f t="shared" si="12"/>
        <v>69300</v>
      </c>
      <c r="O52" s="84">
        <v>5</v>
      </c>
      <c r="P52" s="92">
        <f t="shared" si="17"/>
        <v>275</v>
      </c>
      <c r="Q52" s="24">
        <v>6.7345</v>
      </c>
      <c r="R52" s="73">
        <v>8661</v>
      </c>
      <c r="S52" s="73"/>
      <c r="T52" s="73">
        <f t="shared" si="14"/>
        <v>476355</v>
      </c>
      <c r="U52" s="51" t="s">
        <v>814</v>
      </c>
      <c r="V52" s="24" t="s">
        <v>155</v>
      </c>
      <c r="W52" s="23" t="s">
        <v>829</v>
      </c>
      <c r="X52" s="102">
        <f>3*2600</f>
        <v>7800</v>
      </c>
      <c r="Y52" s="102">
        <f>3*38</f>
        <v>114</v>
      </c>
      <c r="Z52" s="102">
        <f>3*4500</f>
        <v>13500</v>
      </c>
      <c r="AA52" s="24"/>
      <c r="AB52" s="24"/>
      <c r="AC52" s="24"/>
      <c r="AD52" s="24"/>
      <c r="AE52" s="24"/>
      <c r="AF52" s="24"/>
      <c r="AG52" s="24"/>
    </row>
    <row r="53" s="23" customFormat="1" ht="13.85" spans="1:33">
      <c r="A53" s="24" t="s">
        <v>25</v>
      </c>
      <c r="B53" s="143" t="s">
        <v>809</v>
      </c>
      <c r="C53" s="23" t="s">
        <v>874</v>
      </c>
      <c r="D53" s="24" t="s">
        <v>890</v>
      </c>
      <c r="E53" s="68">
        <v>46295</v>
      </c>
      <c r="F53" s="24" t="s">
        <v>812</v>
      </c>
      <c r="G53" s="24">
        <v>27.5</v>
      </c>
      <c r="H53" s="72">
        <v>1260</v>
      </c>
      <c r="I53" s="72">
        <f t="shared" si="10"/>
        <v>34650</v>
      </c>
      <c r="J53" s="25">
        <v>27.5</v>
      </c>
      <c r="K53" s="24">
        <f t="shared" si="11"/>
        <v>0</v>
      </c>
      <c r="L53" s="151">
        <v>0</v>
      </c>
      <c r="M53" s="72">
        <f t="shared" si="13"/>
        <v>34650</v>
      </c>
      <c r="N53" s="72">
        <f t="shared" si="12"/>
        <v>34650</v>
      </c>
      <c r="O53" s="84">
        <v>5</v>
      </c>
      <c r="P53" s="92">
        <f t="shared" si="17"/>
        <v>137.5</v>
      </c>
      <c r="Q53" s="24">
        <v>6.7345</v>
      </c>
      <c r="R53" s="73">
        <v>8661</v>
      </c>
      <c r="S53" s="73"/>
      <c r="T53" s="73">
        <f t="shared" si="14"/>
        <v>238177.5</v>
      </c>
      <c r="U53" s="51" t="s">
        <v>814</v>
      </c>
      <c r="V53" s="24" t="s">
        <v>155</v>
      </c>
      <c r="W53" s="23" t="s">
        <v>829</v>
      </c>
      <c r="X53" s="104"/>
      <c r="Y53" s="104"/>
      <c r="Z53" s="104"/>
      <c r="AA53" s="24"/>
      <c r="AB53" s="24"/>
      <c r="AC53" s="24"/>
      <c r="AD53" s="24"/>
      <c r="AE53" s="24"/>
      <c r="AF53" s="24"/>
      <c r="AG53" s="24"/>
    </row>
    <row r="54" s="23" customFormat="1" ht="13.85" spans="1:33">
      <c r="A54" s="24" t="s">
        <v>150</v>
      </c>
      <c r="B54" s="143" t="s">
        <v>809</v>
      </c>
      <c r="C54" s="23" t="s">
        <v>891</v>
      </c>
      <c r="D54" s="24" t="s">
        <v>892</v>
      </c>
      <c r="E54" s="71">
        <v>46319</v>
      </c>
      <c r="F54" s="24" t="s">
        <v>818</v>
      </c>
      <c r="G54" s="24">
        <v>18.5</v>
      </c>
      <c r="H54" s="72">
        <v>1430</v>
      </c>
      <c r="I54" s="72">
        <f t="shared" si="10"/>
        <v>26455</v>
      </c>
      <c r="J54" s="24">
        <v>0</v>
      </c>
      <c r="K54" s="24">
        <f t="shared" si="11"/>
        <v>18.5</v>
      </c>
      <c r="L54" s="151">
        <v>0</v>
      </c>
      <c r="M54" s="72">
        <f t="shared" si="13"/>
        <v>26455</v>
      </c>
      <c r="N54" s="72">
        <f t="shared" si="12"/>
        <v>0</v>
      </c>
      <c r="O54" s="84">
        <v>0</v>
      </c>
      <c r="P54" s="92">
        <f t="shared" si="17"/>
        <v>0</v>
      </c>
      <c r="Q54" s="24">
        <v>6.71</v>
      </c>
      <c r="R54" s="73">
        <v>9040</v>
      </c>
      <c r="S54" s="73"/>
      <c r="T54" s="73">
        <f t="shared" si="14"/>
        <v>167240</v>
      </c>
      <c r="U54" s="51" t="s">
        <v>877</v>
      </c>
      <c r="V54" s="24" t="s">
        <v>155</v>
      </c>
      <c r="W54" s="23" t="s">
        <v>893</v>
      </c>
      <c r="X54" s="104">
        <v>3550</v>
      </c>
      <c r="Y54" s="104">
        <v>30</v>
      </c>
      <c r="Z54" s="104">
        <v>5000</v>
      </c>
      <c r="AA54" s="24"/>
      <c r="AB54" s="24"/>
      <c r="AC54" s="24"/>
      <c r="AD54" s="24"/>
      <c r="AE54" s="24"/>
      <c r="AF54" s="24"/>
      <c r="AG54" s="24"/>
    </row>
    <row r="55" s="23" customFormat="1" ht="13.85" spans="1:33">
      <c r="A55" s="24" t="s">
        <v>150</v>
      </c>
      <c r="B55" s="143" t="s">
        <v>809</v>
      </c>
      <c r="C55" s="23" t="s">
        <v>891</v>
      </c>
      <c r="D55" s="24" t="s">
        <v>892</v>
      </c>
      <c r="E55" s="71">
        <v>46319</v>
      </c>
      <c r="F55" s="24" t="s">
        <v>894</v>
      </c>
      <c r="G55" s="24">
        <v>18.5</v>
      </c>
      <c r="H55" s="72">
        <v>1430</v>
      </c>
      <c r="I55" s="72">
        <f t="shared" si="10"/>
        <v>26455</v>
      </c>
      <c r="J55" s="24">
        <v>0</v>
      </c>
      <c r="K55" s="24">
        <f t="shared" si="11"/>
        <v>18.5</v>
      </c>
      <c r="L55" s="151">
        <v>0</v>
      </c>
      <c r="M55" s="72">
        <f t="shared" si="13"/>
        <v>26455</v>
      </c>
      <c r="N55" s="72">
        <f t="shared" si="12"/>
        <v>0</v>
      </c>
      <c r="O55" s="84">
        <v>0</v>
      </c>
      <c r="P55" s="92">
        <f t="shared" si="17"/>
        <v>0</v>
      </c>
      <c r="Q55" s="24">
        <v>6.71</v>
      </c>
      <c r="R55" s="73">
        <v>9040</v>
      </c>
      <c r="S55" s="73"/>
      <c r="T55" s="73">
        <f t="shared" si="14"/>
        <v>167240</v>
      </c>
      <c r="U55" s="51" t="s">
        <v>877</v>
      </c>
      <c r="V55" s="24" t="s">
        <v>155</v>
      </c>
      <c r="W55" s="23" t="s">
        <v>893</v>
      </c>
      <c r="X55" s="104">
        <v>3550</v>
      </c>
      <c r="Y55" s="104">
        <v>30</v>
      </c>
      <c r="Z55" s="104">
        <v>5000</v>
      </c>
      <c r="AA55" s="24"/>
      <c r="AB55" s="24"/>
      <c r="AC55" s="24"/>
      <c r="AD55" s="24"/>
      <c r="AE55" s="24"/>
      <c r="AF55" s="24"/>
      <c r="AG55" s="24"/>
    </row>
    <row r="56" s="23" customFormat="1" ht="13.85" spans="1:33">
      <c r="A56" s="24" t="s">
        <v>150</v>
      </c>
      <c r="B56" s="143" t="s">
        <v>809</v>
      </c>
      <c r="C56" s="23" t="s">
        <v>891</v>
      </c>
      <c r="D56" s="24" t="s">
        <v>892</v>
      </c>
      <c r="E56" s="71">
        <v>46319</v>
      </c>
      <c r="F56" s="24" t="s">
        <v>823</v>
      </c>
      <c r="G56" s="24">
        <v>18.5</v>
      </c>
      <c r="H56" s="72">
        <v>1445</v>
      </c>
      <c r="I56" s="72">
        <f t="shared" si="10"/>
        <v>26732.5</v>
      </c>
      <c r="J56" s="24">
        <v>0</v>
      </c>
      <c r="K56" s="24">
        <f t="shared" si="11"/>
        <v>18.5</v>
      </c>
      <c r="L56" s="151">
        <v>0</v>
      </c>
      <c r="M56" s="72">
        <f t="shared" si="13"/>
        <v>26732.5</v>
      </c>
      <c r="N56" s="72">
        <f t="shared" si="12"/>
        <v>0</v>
      </c>
      <c r="O56" s="84">
        <v>0</v>
      </c>
      <c r="P56" s="92">
        <f t="shared" si="17"/>
        <v>0</v>
      </c>
      <c r="Q56" s="24">
        <v>6.71</v>
      </c>
      <c r="R56" s="73">
        <v>9153</v>
      </c>
      <c r="S56" s="73"/>
      <c r="T56" s="73">
        <f t="shared" si="14"/>
        <v>169330.5</v>
      </c>
      <c r="U56" s="51" t="s">
        <v>877</v>
      </c>
      <c r="V56" s="24" t="s">
        <v>155</v>
      </c>
      <c r="W56" s="23" t="s">
        <v>893</v>
      </c>
      <c r="X56" s="104">
        <v>3550</v>
      </c>
      <c r="Y56" s="104">
        <v>30</v>
      </c>
      <c r="Z56" s="104">
        <v>5000</v>
      </c>
      <c r="AA56" s="24"/>
      <c r="AB56" s="24"/>
      <c r="AC56" s="24"/>
      <c r="AD56" s="24"/>
      <c r="AE56" s="24"/>
      <c r="AF56" s="24"/>
      <c r="AG56" s="24"/>
    </row>
    <row r="57" s="23" customFormat="1" ht="13.85" spans="1:33">
      <c r="A57" s="24" t="s">
        <v>25</v>
      </c>
      <c r="B57" s="143" t="s">
        <v>809</v>
      </c>
      <c r="C57" s="23" t="s">
        <v>895</v>
      </c>
      <c r="D57" s="24" t="s">
        <v>896</v>
      </c>
      <c r="E57" s="71">
        <v>46291</v>
      </c>
      <c r="F57" s="24" t="s">
        <v>812</v>
      </c>
      <c r="G57" s="24">
        <v>27.5</v>
      </c>
      <c r="H57" s="72">
        <v>1380</v>
      </c>
      <c r="I57" s="72">
        <f t="shared" si="10"/>
        <v>37950</v>
      </c>
      <c r="J57" s="24">
        <v>27.5</v>
      </c>
      <c r="K57" s="24">
        <f t="shared" si="11"/>
        <v>0</v>
      </c>
      <c r="L57" s="151">
        <v>0</v>
      </c>
      <c r="M57" s="72">
        <f t="shared" si="13"/>
        <v>37950</v>
      </c>
      <c r="N57" s="72">
        <f t="shared" si="12"/>
        <v>37950</v>
      </c>
      <c r="O57" s="84">
        <v>5</v>
      </c>
      <c r="P57" s="92">
        <f t="shared" si="17"/>
        <v>137.5</v>
      </c>
      <c r="Q57" s="24">
        <v>6.71</v>
      </c>
      <c r="R57" s="73">
        <v>9141</v>
      </c>
      <c r="S57" s="73"/>
      <c r="T57" s="73">
        <f t="shared" si="14"/>
        <v>251377.5</v>
      </c>
      <c r="U57" s="51" t="s">
        <v>814</v>
      </c>
      <c r="V57" s="24" t="s">
        <v>155</v>
      </c>
      <c r="W57" s="23" t="s">
        <v>824</v>
      </c>
      <c r="X57" s="104">
        <v>4000</v>
      </c>
      <c r="Y57" s="104">
        <v>42</v>
      </c>
      <c r="Z57" s="104">
        <v>4800</v>
      </c>
      <c r="AA57" s="24"/>
      <c r="AB57" s="24"/>
      <c r="AC57" s="24"/>
      <c r="AD57" s="24"/>
      <c r="AE57" s="24"/>
      <c r="AF57" s="24"/>
      <c r="AG57" s="24"/>
    </row>
    <row r="58" s="23" customFormat="1" ht="13.85" spans="1:33">
      <c r="A58" s="24" t="s">
        <v>25</v>
      </c>
      <c r="B58" s="143" t="s">
        <v>809</v>
      </c>
      <c r="C58" s="23" t="s">
        <v>821</v>
      </c>
      <c r="D58" s="24" t="s">
        <v>897</v>
      </c>
      <c r="E58" s="71">
        <v>46306</v>
      </c>
      <c r="F58" s="24" t="s">
        <v>823</v>
      </c>
      <c r="G58" s="24">
        <v>55</v>
      </c>
      <c r="H58" s="72">
        <v>1640</v>
      </c>
      <c r="I58" s="72">
        <f t="shared" si="10"/>
        <v>90200</v>
      </c>
      <c r="J58" s="24">
        <v>55</v>
      </c>
      <c r="K58" s="24">
        <f t="shared" si="11"/>
        <v>0</v>
      </c>
      <c r="L58" s="151">
        <v>0</v>
      </c>
      <c r="M58" s="72">
        <f t="shared" si="13"/>
        <v>90200</v>
      </c>
      <c r="N58" s="72">
        <f t="shared" si="12"/>
        <v>90200</v>
      </c>
      <c r="O58" s="84">
        <v>10</v>
      </c>
      <c r="P58" s="92">
        <f t="shared" si="17"/>
        <v>550</v>
      </c>
      <c r="Q58" s="24">
        <v>6.698</v>
      </c>
      <c r="R58" s="73">
        <v>10884</v>
      </c>
      <c r="S58" s="73"/>
      <c r="T58" s="73">
        <f t="shared" si="14"/>
        <v>598620</v>
      </c>
      <c r="U58" s="51" t="s">
        <v>814</v>
      </c>
      <c r="V58" s="24" t="s">
        <v>155</v>
      </c>
      <c r="W58" s="23" t="s">
        <v>824</v>
      </c>
      <c r="X58" s="104">
        <f>2*4600</f>
        <v>9200</v>
      </c>
      <c r="Y58" s="104">
        <f>2*50</f>
        <v>100</v>
      </c>
      <c r="Z58" s="104">
        <f>5000*2</f>
        <v>10000</v>
      </c>
      <c r="AA58" s="24"/>
      <c r="AB58" s="24"/>
      <c r="AC58" s="24"/>
      <c r="AD58" s="24"/>
      <c r="AE58" s="24"/>
      <c r="AF58" s="24"/>
      <c r="AG58" s="24"/>
    </row>
    <row r="59" s="23" customFormat="1" ht="13.85" spans="1:33">
      <c r="A59" s="24" t="s">
        <v>150</v>
      </c>
      <c r="B59" s="143" t="s">
        <v>183</v>
      </c>
      <c r="C59" s="23" t="s">
        <v>847</v>
      </c>
      <c r="D59" s="24" t="s">
        <v>898</v>
      </c>
      <c r="E59" s="71">
        <v>46306</v>
      </c>
      <c r="F59" s="24" t="s">
        <v>818</v>
      </c>
      <c r="G59" s="24">
        <v>27</v>
      </c>
      <c r="H59" s="72">
        <v>1570</v>
      </c>
      <c r="I59" s="72">
        <f t="shared" si="10"/>
        <v>42390</v>
      </c>
      <c r="J59" s="24">
        <v>0</v>
      </c>
      <c r="K59" s="24">
        <f t="shared" si="11"/>
        <v>27</v>
      </c>
      <c r="L59" s="151">
        <f>生物收款!E41</f>
        <v>42390</v>
      </c>
      <c r="M59" s="72">
        <f t="shared" si="13"/>
        <v>0</v>
      </c>
      <c r="N59" s="72">
        <f t="shared" si="12"/>
        <v>-42390</v>
      </c>
      <c r="O59" s="84">
        <v>30</v>
      </c>
      <c r="P59" s="92">
        <f t="shared" si="17"/>
        <v>810</v>
      </c>
      <c r="Q59" s="24">
        <v>6.698</v>
      </c>
      <c r="R59" s="73">
        <v>10102</v>
      </c>
      <c r="S59" s="73"/>
      <c r="T59" s="73">
        <f t="shared" si="14"/>
        <v>272754</v>
      </c>
      <c r="U59" s="51" t="s">
        <v>850</v>
      </c>
      <c r="V59" s="24" t="s">
        <v>155</v>
      </c>
      <c r="W59" s="23" t="s">
        <v>851</v>
      </c>
      <c r="X59" s="104">
        <v>4800</v>
      </c>
      <c r="Y59" s="104">
        <v>50</v>
      </c>
      <c r="Z59" s="104">
        <v>5000</v>
      </c>
      <c r="AA59" s="24"/>
      <c r="AB59" s="24"/>
      <c r="AC59" s="24"/>
      <c r="AD59" s="24"/>
      <c r="AE59" s="24"/>
      <c r="AF59" s="24"/>
      <c r="AG59" s="24"/>
    </row>
    <row r="60" s="23" customFormat="1" ht="13.85" spans="1:33">
      <c r="A60" s="24" t="s">
        <v>150</v>
      </c>
      <c r="B60" s="143" t="s">
        <v>899</v>
      </c>
      <c r="C60" s="23" t="s">
        <v>891</v>
      </c>
      <c r="D60" s="24" t="s">
        <v>900</v>
      </c>
      <c r="E60" s="71">
        <v>46356</v>
      </c>
      <c r="F60" s="24" t="s">
        <v>818</v>
      </c>
      <c r="G60" s="24">
        <v>18.5</v>
      </c>
      <c r="H60" s="72">
        <v>1650</v>
      </c>
      <c r="I60" s="72">
        <f t="shared" si="10"/>
        <v>30525</v>
      </c>
      <c r="J60" s="24">
        <v>0</v>
      </c>
      <c r="K60" s="24">
        <f t="shared" si="11"/>
        <v>18.5</v>
      </c>
      <c r="L60" s="151">
        <v>0</v>
      </c>
      <c r="M60" s="72">
        <f t="shared" si="13"/>
        <v>30525</v>
      </c>
      <c r="N60" s="72">
        <f t="shared" si="12"/>
        <v>0</v>
      </c>
      <c r="O60" s="84">
        <v>0</v>
      </c>
      <c r="P60" s="92">
        <f t="shared" si="17"/>
        <v>0</v>
      </c>
      <c r="Q60" s="24">
        <v>6.69</v>
      </c>
      <c r="R60" s="73">
        <v>10720</v>
      </c>
      <c r="S60" s="73"/>
      <c r="T60" s="73">
        <f t="shared" si="14"/>
        <v>198320</v>
      </c>
      <c r="U60" s="51" t="s">
        <v>877</v>
      </c>
      <c r="V60" s="24" t="s">
        <v>155</v>
      </c>
      <c r="W60" s="23" t="s">
        <v>893</v>
      </c>
      <c r="X60" s="104">
        <v>3500</v>
      </c>
      <c r="Y60" s="104">
        <v>35</v>
      </c>
      <c r="Z60" s="104">
        <f>4500</f>
        <v>4500</v>
      </c>
      <c r="AA60" s="24"/>
      <c r="AB60" s="24"/>
      <c r="AC60" s="24"/>
      <c r="AD60" s="24"/>
      <c r="AE60" s="24"/>
      <c r="AF60" s="24"/>
      <c r="AG60" s="24"/>
    </row>
    <row r="61" s="23" customFormat="1" ht="13.85" spans="1:33">
      <c r="A61" s="24" t="s">
        <v>150</v>
      </c>
      <c r="B61" s="143" t="s">
        <v>899</v>
      </c>
      <c r="C61" s="23" t="s">
        <v>891</v>
      </c>
      <c r="D61" s="24" t="s">
        <v>900</v>
      </c>
      <c r="E61" s="71">
        <v>46356</v>
      </c>
      <c r="F61" s="24" t="s">
        <v>823</v>
      </c>
      <c r="G61" s="24">
        <v>55.5</v>
      </c>
      <c r="H61" s="72">
        <v>1650</v>
      </c>
      <c r="I61" s="72">
        <f t="shared" si="10"/>
        <v>91575</v>
      </c>
      <c r="J61" s="24">
        <v>0</v>
      </c>
      <c r="K61" s="24">
        <f t="shared" si="11"/>
        <v>55.5</v>
      </c>
      <c r="L61" s="151">
        <v>0</v>
      </c>
      <c r="M61" s="72">
        <f t="shared" si="13"/>
        <v>91575</v>
      </c>
      <c r="N61" s="72">
        <f t="shared" si="12"/>
        <v>0</v>
      </c>
      <c r="O61" s="84">
        <v>0</v>
      </c>
      <c r="P61" s="92">
        <f t="shared" si="17"/>
        <v>0</v>
      </c>
      <c r="Q61" s="24">
        <v>6.69</v>
      </c>
      <c r="R61" s="73">
        <v>10720</v>
      </c>
      <c r="S61" s="73"/>
      <c r="T61" s="73">
        <f t="shared" si="14"/>
        <v>594960</v>
      </c>
      <c r="U61" s="51" t="s">
        <v>877</v>
      </c>
      <c r="V61" s="24" t="s">
        <v>155</v>
      </c>
      <c r="W61" s="23" t="s">
        <v>893</v>
      </c>
      <c r="X61" s="104">
        <f>3*3500</f>
        <v>10500</v>
      </c>
      <c r="Y61" s="104">
        <f>3*35</f>
        <v>105</v>
      </c>
      <c r="Z61" s="104">
        <f>4500*3</f>
        <v>13500</v>
      </c>
      <c r="AA61" s="24"/>
      <c r="AB61" s="24"/>
      <c r="AC61" s="24"/>
      <c r="AD61" s="24"/>
      <c r="AE61" s="24"/>
      <c r="AF61" s="24"/>
      <c r="AG61" s="24"/>
    </row>
    <row r="62" s="23" customFormat="1" ht="14" customHeight="1" spans="1:33">
      <c r="A62" s="24" t="s">
        <v>150</v>
      </c>
      <c r="B62" s="143" t="s">
        <v>183</v>
      </c>
      <c r="C62" s="23" t="s">
        <v>847</v>
      </c>
      <c r="D62" s="24" t="s">
        <v>901</v>
      </c>
      <c r="E62" s="71">
        <v>46325</v>
      </c>
      <c r="F62" s="24" t="s">
        <v>818</v>
      </c>
      <c r="G62" s="24">
        <v>27</v>
      </c>
      <c r="H62" s="72">
        <v>1640</v>
      </c>
      <c r="I62" s="72">
        <f t="shared" si="10"/>
        <v>44280</v>
      </c>
      <c r="J62" s="24">
        <v>0</v>
      </c>
      <c r="K62" s="24">
        <f t="shared" si="11"/>
        <v>27</v>
      </c>
      <c r="L62" s="151">
        <v>0</v>
      </c>
      <c r="M62" s="72">
        <f t="shared" si="13"/>
        <v>44280</v>
      </c>
      <c r="N62" s="72">
        <f t="shared" si="12"/>
        <v>0</v>
      </c>
      <c r="O62" s="84">
        <v>30</v>
      </c>
      <c r="P62" s="92">
        <f t="shared" si="17"/>
        <v>810</v>
      </c>
      <c r="Q62" s="24">
        <v>6.695</v>
      </c>
      <c r="R62" s="73">
        <v>10925</v>
      </c>
      <c r="S62" s="73"/>
      <c r="T62" s="73">
        <f t="shared" si="14"/>
        <v>294975</v>
      </c>
      <c r="U62" s="51" t="s">
        <v>850</v>
      </c>
      <c r="V62" s="24" t="s">
        <v>155</v>
      </c>
      <c r="W62" s="23" t="s">
        <v>851</v>
      </c>
      <c r="X62" s="104">
        <v>3800</v>
      </c>
      <c r="Y62" s="104">
        <v>50</v>
      </c>
      <c r="Z62" s="104">
        <v>4500</v>
      </c>
      <c r="AA62" s="24"/>
      <c r="AB62" s="24"/>
      <c r="AC62" s="24"/>
      <c r="AD62" s="24"/>
      <c r="AE62" s="24"/>
      <c r="AF62" s="24"/>
      <c r="AG62" s="24"/>
    </row>
    <row r="63" s="23" customFormat="1" ht="14" customHeight="1" spans="1:33">
      <c r="A63" s="24" t="s">
        <v>150</v>
      </c>
      <c r="B63" s="143" t="s">
        <v>173</v>
      </c>
      <c r="C63" s="23" t="s">
        <v>836</v>
      </c>
      <c r="D63" s="24" t="s">
        <v>902</v>
      </c>
      <c r="E63" s="71">
        <v>46338</v>
      </c>
      <c r="F63" s="24" t="s">
        <v>823</v>
      </c>
      <c r="G63" s="24">
        <v>48</v>
      </c>
      <c r="H63" s="72">
        <v>1640</v>
      </c>
      <c r="I63" s="72">
        <f t="shared" si="10"/>
        <v>78720</v>
      </c>
      <c r="J63" s="24">
        <v>24</v>
      </c>
      <c r="K63" s="24">
        <f t="shared" si="11"/>
        <v>24</v>
      </c>
      <c r="L63" s="152">
        <v>51168</v>
      </c>
      <c r="M63" s="80">
        <f t="shared" si="13"/>
        <v>27552</v>
      </c>
      <c r="N63" s="80">
        <f t="shared" si="12"/>
        <v>-11808</v>
      </c>
      <c r="O63" s="84">
        <v>0</v>
      </c>
      <c r="P63" s="92">
        <f t="shared" si="17"/>
        <v>0</v>
      </c>
      <c r="Q63" s="24">
        <v>6.68</v>
      </c>
      <c r="R63" s="73">
        <v>11933</v>
      </c>
      <c r="S63" s="73"/>
      <c r="T63" s="73">
        <f t="shared" si="14"/>
        <v>572784</v>
      </c>
      <c r="U63" s="51" t="s">
        <v>850</v>
      </c>
      <c r="V63" s="24" t="s">
        <v>155</v>
      </c>
      <c r="W63" s="23" t="s">
        <v>205</v>
      </c>
      <c r="X63" s="104">
        <f>600*2</f>
        <v>1200</v>
      </c>
      <c r="Y63" s="104">
        <f>45*2</f>
        <v>90</v>
      </c>
      <c r="Z63" s="104">
        <f>5000*2</f>
        <v>10000</v>
      </c>
      <c r="AA63" s="24"/>
      <c r="AB63" s="24"/>
      <c r="AC63" s="24"/>
      <c r="AD63" s="24"/>
      <c r="AE63" s="24"/>
      <c r="AF63" s="24"/>
      <c r="AG63" s="24"/>
    </row>
    <row r="64" s="23" customFormat="1" ht="14" customHeight="1" spans="1:33">
      <c r="A64" s="24" t="s">
        <v>150</v>
      </c>
      <c r="B64" s="143" t="s">
        <v>173</v>
      </c>
      <c r="C64" s="23" t="s">
        <v>836</v>
      </c>
      <c r="D64" s="24" t="s">
        <v>903</v>
      </c>
      <c r="E64" s="71">
        <v>46346</v>
      </c>
      <c r="F64" s="24" t="s">
        <v>823</v>
      </c>
      <c r="G64" s="24">
        <v>24</v>
      </c>
      <c r="H64" s="72">
        <v>1630</v>
      </c>
      <c r="I64" s="72">
        <f t="shared" si="10"/>
        <v>39120</v>
      </c>
      <c r="J64" s="24">
        <v>0</v>
      </c>
      <c r="K64" s="24">
        <f t="shared" si="11"/>
        <v>24</v>
      </c>
      <c r="L64" s="151">
        <v>0</v>
      </c>
      <c r="M64" s="72">
        <f t="shared" si="13"/>
        <v>39120</v>
      </c>
      <c r="N64" s="72">
        <f t="shared" si="12"/>
        <v>0</v>
      </c>
      <c r="O64" s="84">
        <v>0</v>
      </c>
      <c r="P64" s="92"/>
      <c r="Q64" s="24">
        <v>6.667</v>
      </c>
      <c r="R64" s="73">
        <v>11766</v>
      </c>
      <c r="S64" s="73"/>
      <c r="T64" s="73"/>
      <c r="U64" s="51"/>
      <c r="V64" s="24"/>
      <c r="X64" s="104"/>
      <c r="Y64" s="104"/>
      <c r="Z64" s="104"/>
      <c r="AA64" s="24"/>
      <c r="AB64" s="24"/>
      <c r="AC64" s="24"/>
      <c r="AD64" s="24"/>
      <c r="AE64" s="24"/>
      <c r="AF64" s="24"/>
      <c r="AG64" s="24"/>
    </row>
  </sheetData>
  <autoFilter xmlns:etc="http://www.wps.cn/officeDocument/2017/etCustomData" ref="A1:AG64" etc:filterBottomFollowUsedRange="0">
    <extLst/>
  </autoFilter>
  <mergeCells count="10">
    <mergeCell ref="X33:X34"/>
    <mergeCell ref="X48:X49"/>
    <mergeCell ref="X52:X53"/>
    <mergeCell ref="Y33:Y34"/>
    <mergeCell ref="Y48:Y49"/>
    <mergeCell ref="Y52:Y53"/>
    <mergeCell ref="Z33:Z34"/>
    <mergeCell ref="Z48:Z49"/>
    <mergeCell ref="Z52:Z53"/>
    <mergeCell ref="O48:P49"/>
  </mergeCells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Y43"/>
  <sheetViews>
    <sheetView topLeftCell="A19" workbookViewId="0">
      <selection activeCell="E42" sqref="E42:E43"/>
    </sheetView>
  </sheetViews>
  <sheetFormatPr defaultColWidth="9.02654867256637" defaultRowHeight="13.5"/>
  <cols>
    <col min="1" max="1" width="9.42477876106195" customWidth="1"/>
    <col min="2" max="2" width="44.5929203539823" customWidth="1"/>
    <col min="3" max="3" width="24.5132743362832" customWidth="1"/>
    <col min="4" max="4" width="9.50442477876106" customWidth="1"/>
    <col min="5" max="5" width="16" customWidth="1"/>
    <col min="6" max="6" width="21.2389380530973" customWidth="1"/>
  </cols>
  <sheetData>
    <row r="1" spans="1:6">
      <c r="A1" s="42" t="s">
        <v>278</v>
      </c>
      <c r="B1" s="42" t="s">
        <v>279</v>
      </c>
      <c r="C1" s="42" t="s">
        <v>4</v>
      </c>
      <c r="D1" s="42" t="s">
        <v>1</v>
      </c>
      <c r="E1" s="42" t="s">
        <v>280</v>
      </c>
      <c r="F1" s="42" t="s">
        <v>148</v>
      </c>
    </row>
    <row r="2" s="1" customFormat="1" ht="13.85" spans="1:6">
      <c r="A2" s="130">
        <v>46048</v>
      </c>
      <c r="B2" s="24" t="s">
        <v>816</v>
      </c>
      <c r="C2" s="24" t="s">
        <v>904</v>
      </c>
      <c r="D2" s="131" t="s">
        <v>281</v>
      </c>
      <c r="E2" s="132">
        <v>5175</v>
      </c>
      <c r="F2" s="131" t="s">
        <v>905</v>
      </c>
    </row>
    <row r="3" s="1" customFormat="1" ht="13.85" spans="1:6">
      <c r="A3" s="130">
        <v>46092</v>
      </c>
      <c r="B3" s="24" t="s">
        <v>906</v>
      </c>
      <c r="C3" s="24" t="s">
        <v>834</v>
      </c>
      <c r="D3" s="131" t="s">
        <v>281</v>
      </c>
      <c r="E3" s="132">
        <v>11205</v>
      </c>
      <c r="F3" s="131" t="s">
        <v>907</v>
      </c>
    </row>
    <row r="4" s="1" customFormat="1" ht="13.85" spans="1:6">
      <c r="A4" s="130">
        <v>46092</v>
      </c>
      <c r="B4" s="24" t="s">
        <v>836</v>
      </c>
      <c r="C4" s="24" t="s">
        <v>837</v>
      </c>
      <c r="D4" s="131" t="s">
        <v>281</v>
      </c>
      <c r="E4" s="132">
        <v>2330</v>
      </c>
      <c r="F4" s="131" t="s">
        <v>908</v>
      </c>
    </row>
    <row r="5" s="1" customFormat="1" ht="13.85" spans="1:6">
      <c r="A5" s="130">
        <v>46094</v>
      </c>
      <c r="B5" s="24" t="s">
        <v>836</v>
      </c>
      <c r="C5" s="24" t="s">
        <v>837</v>
      </c>
      <c r="D5" s="131" t="s">
        <v>281</v>
      </c>
      <c r="E5" s="132">
        <v>20970</v>
      </c>
      <c r="F5" s="131" t="s">
        <v>909</v>
      </c>
    </row>
    <row r="6" s="1" customFormat="1" ht="14" customHeight="1" spans="1:6">
      <c r="A6" s="130">
        <v>46100</v>
      </c>
      <c r="B6" s="24" t="s">
        <v>836</v>
      </c>
      <c r="C6" s="24" t="s">
        <v>910</v>
      </c>
      <c r="D6" s="131" t="s">
        <v>281</v>
      </c>
      <c r="E6" s="132">
        <v>9060</v>
      </c>
      <c r="F6" s="131" t="s">
        <v>911</v>
      </c>
    </row>
    <row r="7" s="1" customFormat="1" ht="13.85" spans="1:6">
      <c r="A7" s="130">
        <v>46100</v>
      </c>
      <c r="B7" s="24" t="s">
        <v>847</v>
      </c>
      <c r="C7" s="24" t="s">
        <v>848</v>
      </c>
      <c r="D7" s="131" t="s">
        <v>281</v>
      </c>
      <c r="E7" s="132">
        <v>42120</v>
      </c>
      <c r="F7" s="131" t="s">
        <v>296</v>
      </c>
    </row>
    <row r="8" s="1" customFormat="1" ht="13.85" spans="1:6">
      <c r="A8" s="130">
        <v>46106</v>
      </c>
      <c r="B8" s="24" t="s">
        <v>836</v>
      </c>
      <c r="C8" s="24" t="s">
        <v>910</v>
      </c>
      <c r="D8" s="131" t="s">
        <v>281</v>
      </c>
      <c r="E8" s="132">
        <v>21140</v>
      </c>
      <c r="F8" s="131" t="s">
        <v>912</v>
      </c>
    </row>
    <row r="9" s="129" customFormat="1" ht="13.85" spans="1:233">
      <c r="A9" s="130">
        <v>46149</v>
      </c>
      <c r="B9" s="24" t="s">
        <v>866</v>
      </c>
      <c r="C9" s="24" t="s">
        <v>867</v>
      </c>
      <c r="D9" s="131" t="s">
        <v>281</v>
      </c>
      <c r="E9" s="132">
        <v>10773</v>
      </c>
      <c r="F9" s="131" t="s">
        <v>913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</row>
    <row r="10" s="129" customFormat="1" ht="13.85" spans="1:233">
      <c r="A10" s="130">
        <v>46151</v>
      </c>
      <c r="B10" s="24" t="s">
        <v>914</v>
      </c>
      <c r="C10" s="24" t="s">
        <v>862</v>
      </c>
      <c r="D10" s="131" t="s">
        <v>281</v>
      </c>
      <c r="E10" s="132">
        <v>80730</v>
      </c>
      <c r="F10" s="131" t="s">
        <v>915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</row>
    <row r="11" s="129" customFormat="1" ht="13.85" spans="1:233">
      <c r="A11" s="130">
        <v>46165</v>
      </c>
      <c r="B11" s="24" t="s">
        <v>916</v>
      </c>
      <c r="C11" s="24" t="s">
        <v>822</v>
      </c>
      <c r="D11" s="131" t="s">
        <v>917</v>
      </c>
      <c r="E11" s="132">
        <v>84150</v>
      </c>
      <c r="F11" s="131" t="s">
        <v>918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</row>
    <row r="12" s="129" customFormat="1" ht="13.85" spans="1:233">
      <c r="A12" s="130">
        <v>46171</v>
      </c>
      <c r="B12" s="24" t="s">
        <v>906</v>
      </c>
      <c r="C12" s="24" t="s">
        <v>919</v>
      </c>
      <c r="D12" s="131" t="s">
        <v>281</v>
      </c>
      <c r="E12" s="132">
        <v>22510</v>
      </c>
      <c r="F12" s="131" t="s">
        <v>920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</row>
    <row r="13" s="129" customFormat="1" ht="13.85" spans="1:233">
      <c r="A13" s="130">
        <v>46176</v>
      </c>
      <c r="B13" s="24" t="s">
        <v>839</v>
      </c>
      <c r="C13" s="24" t="s">
        <v>840</v>
      </c>
      <c r="D13" s="131" t="s">
        <v>917</v>
      </c>
      <c r="E13" s="132">
        <v>254227.71</v>
      </c>
      <c r="F13" s="131" t="s">
        <v>921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</row>
    <row r="14" s="129" customFormat="1" ht="13.85" spans="1:233">
      <c r="A14" s="130">
        <v>46178</v>
      </c>
      <c r="B14" s="24" t="s">
        <v>906</v>
      </c>
      <c r="C14" s="24" t="s">
        <v>922</v>
      </c>
      <c r="D14" s="131" t="s">
        <v>281</v>
      </c>
      <c r="E14" s="132">
        <v>22510</v>
      </c>
      <c r="F14" s="131" t="s">
        <v>923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</row>
    <row r="15" s="129" customFormat="1" ht="13.85" spans="1:233">
      <c r="A15" s="130">
        <v>46178</v>
      </c>
      <c r="B15" s="24" t="s">
        <v>868</v>
      </c>
      <c r="C15" s="24" t="s">
        <v>869</v>
      </c>
      <c r="D15" s="131" t="s">
        <v>281</v>
      </c>
      <c r="E15" s="132">
        <v>13700</v>
      </c>
      <c r="F15" s="131" t="s">
        <v>355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</row>
    <row r="16" s="1" customFormat="1" ht="13.85" spans="1:6">
      <c r="A16" s="130">
        <v>46188</v>
      </c>
      <c r="B16" s="24" t="s">
        <v>866</v>
      </c>
      <c r="C16" s="24" t="s">
        <v>867</v>
      </c>
      <c r="D16" s="131" t="s">
        <v>281</v>
      </c>
      <c r="E16" s="132">
        <v>25137</v>
      </c>
      <c r="F16" s="131" t="s">
        <v>924</v>
      </c>
    </row>
    <row r="17" s="1" customFormat="1" ht="13.85" spans="1:6">
      <c r="A17" s="130">
        <v>46198</v>
      </c>
      <c r="B17" s="24" t="s">
        <v>842</v>
      </c>
      <c r="C17" s="24" t="s">
        <v>843</v>
      </c>
      <c r="D17" s="131" t="s">
        <v>281</v>
      </c>
      <c r="E17" s="132">
        <v>84400</v>
      </c>
      <c r="F17" s="131" t="s">
        <v>925</v>
      </c>
    </row>
    <row r="18" s="1" customFormat="1" ht="13.85" spans="1:6">
      <c r="A18" s="130">
        <v>46220</v>
      </c>
      <c r="B18" s="24" t="s">
        <v>836</v>
      </c>
      <c r="C18" s="24" t="s">
        <v>876</v>
      </c>
      <c r="D18" s="131" t="s">
        <v>281</v>
      </c>
      <c r="E18" s="132">
        <v>1340</v>
      </c>
      <c r="F18" s="131" t="s">
        <v>926</v>
      </c>
    </row>
    <row r="19" s="1" customFormat="1" ht="13.85" spans="1:6">
      <c r="A19" s="130">
        <v>46220</v>
      </c>
      <c r="B19" s="24" t="s">
        <v>839</v>
      </c>
      <c r="C19" s="24" t="s">
        <v>853</v>
      </c>
      <c r="D19" s="131" t="s">
        <v>917</v>
      </c>
      <c r="E19" s="132">
        <v>363636</v>
      </c>
      <c r="F19" s="131" t="s">
        <v>918</v>
      </c>
    </row>
    <row r="20" s="1" customFormat="1" ht="13.85" spans="1:6">
      <c r="A20" s="130">
        <v>46231</v>
      </c>
      <c r="B20" s="24" t="s">
        <v>833</v>
      </c>
      <c r="C20" s="24" t="s">
        <v>857</v>
      </c>
      <c r="D20" s="131" t="s">
        <v>917</v>
      </c>
      <c r="E20" s="132">
        <v>38500</v>
      </c>
      <c r="F20" s="131" t="s">
        <v>918</v>
      </c>
    </row>
    <row r="21" s="1" customFormat="1" ht="13.85" spans="1:6">
      <c r="A21" s="130">
        <v>46231</v>
      </c>
      <c r="B21" s="24" t="s">
        <v>860</v>
      </c>
      <c r="C21" s="24" t="s">
        <v>861</v>
      </c>
      <c r="D21" s="131" t="s">
        <v>917</v>
      </c>
      <c r="E21" s="132">
        <v>40425</v>
      </c>
      <c r="F21" s="131" t="s">
        <v>918</v>
      </c>
    </row>
    <row r="22" s="1" customFormat="1" ht="13.85" spans="1:6">
      <c r="A22" s="130">
        <v>46231</v>
      </c>
      <c r="B22" s="24" t="s">
        <v>833</v>
      </c>
      <c r="C22" s="24" t="s">
        <v>880</v>
      </c>
      <c r="D22" s="131" t="s">
        <v>281</v>
      </c>
      <c r="E22" s="132">
        <v>13490</v>
      </c>
      <c r="F22" s="131" t="s">
        <v>384</v>
      </c>
    </row>
    <row r="23" s="1" customFormat="1" ht="13.85" spans="1:6">
      <c r="A23" s="130">
        <v>46235</v>
      </c>
      <c r="B23" s="24" t="s">
        <v>927</v>
      </c>
      <c r="C23" s="24" t="s">
        <v>856</v>
      </c>
      <c r="D23" s="131" t="s">
        <v>917</v>
      </c>
      <c r="E23" s="132">
        <v>77000</v>
      </c>
      <c r="F23" s="131" t="s">
        <v>918</v>
      </c>
    </row>
    <row r="24" s="1" customFormat="1" ht="12" customHeight="1" spans="1:6">
      <c r="A24" s="130">
        <v>46239</v>
      </c>
      <c r="B24" s="24" t="s">
        <v>833</v>
      </c>
      <c r="C24" s="24" t="s">
        <v>885</v>
      </c>
      <c r="D24" s="131" t="s">
        <v>281</v>
      </c>
      <c r="E24" s="132">
        <v>12720</v>
      </c>
      <c r="F24" s="131" t="s">
        <v>384</v>
      </c>
    </row>
    <row r="25" s="1" customFormat="1" ht="13.85" spans="1:6">
      <c r="A25" s="130">
        <v>46241</v>
      </c>
      <c r="B25" s="24" t="s">
        <v>833</v>
      </c>
      <c r="C25" s="24" t="s">
        <v>928</v>
      </c>
      <c r="D25" s="131" t="s">
        <v>917</v>
      </c>
      <c r="E25" s="132">
        <v>38500</v>
      </c>
      <c r="F25" s="131" t="s">
        <v>918</v>
      </c>
    </row>
    <row r="26" s="1" customFormat="1" ht="13.85" spans="1:6">
      <c r="A26" s="130">
        <v>46247</v>
      </c>
      <c r="B26" s="24" t="s">
        <v>830</v>
      </c>
      <c r="C26" s="24" t="s">
        <v>855</v>
      </c>
      <c r="D26" s="131" t="s">
        <v>917</v>
      </c>
      <c r="E26" s="132">
        <v>77000</v>
      </c>
      <c r="F26" s="131" t="s">
        <v>918</v>
      </c>
    </row>
    <row r="27" s="1" customFormat="1" ht="13.85" spans="1:6">
      <c r="A27" s="130">
        <v>46254</v>
      </c>
      <c r="B27" s="24" t="s">
        <v>929</v>
      </c>
      <c r="C27" s="24" t="s">
        <v>831</v>
      </c>
      <c r="D27" s="131" t="s">
        <v>917</v>
      </c>
      <c r="E27" s="132">
        <v>56650</v>
      </c>
      <c r="F27" s="131" t="s">
        <v>918</v>
      </c>
    </row>
    <row r="28" s="1" customFormat="1" ht="13.85" spans="1:6">
      <c r="A28" s="130">
        <v>46254</v>
      </c>
      <c r="B28" s="24" t="s">
        <v>930</v>
      </c>
      <c r="C28" s="24" t="s">
        <v>854</v>
      </c>
      <c r="D28" s="131" t="s">
        <v>917</v>
      </c>
      <c r="E28" s="132">
        <v>77000</v>
      </c>
      <c r="F28" s="131" t="s">
        <v>918</v>
      </c>
    </row>
    <row r="29" s="1" customFormat="1" ht="13.85" spans="1:6">
      <c r="A29" s="130">
        <v>46254</v>
      </c>
      <c r="B29" s="24" t="s">
        <v>930</v>
      </c>
      <c r="C29" s="24" t="s">
        <v>826</v>
      </c>
      <c r="D29" s="131" t="s">
        <v>917</v>
      </c>
      <c r="E29" s="132">
        <v>113300</v>
      </c>
      <c r="F29" s="131" t="s">
        <v>918</v>
      </c>
    </row>
    <row r="30" s="1" customFormat="1" ht="13.85" spans="1:6">
      <c r="A30" s="130">
        <v>46254</v>
      </c>
      <c r="B30" s="24" t="s">
        <v>916</v>
      </c>
      <c r="C30" s="24" t="s">
        <v>832</v>
      </c>
      <c r="D30" s="131" t="s">
        <v>917</v>
      </c>
      <c r="E30" s="132">
        <v>56650</v>
      </c>
      <c r="F30" s="131" t="s">
        <v>918</v>
      </c>
    </row>
    <row r="31" s="1" customFormat="1" ht="13.85" spans="1:6">
      <c r="A31" s="130">
        <v>46254</v>
      </c>
      <c r="B31" s="24" t="s">
        <v>914</v>
      </c>
      <c r="C31" s="24" t="s">
        <v>889</v>
      </c>
      <c r="D31" s="131" t="s">
        <v>281</v>
      </c>
      <c r="E31" s="132">
        <v>75060</v>
      </c>
      <c r="F31" s="131" t="s">
        <v>38</v>
      </c>
    </row>
    <row r="32" s="1" customFormat="1" ht="13.85" spans="1:6">
      <c r="A32" s="130">
        <v>46259</v>
      </c>
      <c r="B32" s="24" t="s">
        <v>931</v>
      </c>
      <c r="C32" s="24" t="s">
        <v>828</v>
      </c>
      <c r="D32" s="131" t="s">
        <v>917</v>
      </c>
      <c r="E32" s="132">
        <v>84975</v>
      </c>
      <c r="F32" s="131" t="s">
        <v>918</v>
      </c>
    </row>
    <row r="33" s="1" customFormat="1" ht="13.85" spans="1:6">
      <c r="A33" s="130">
        <v>46259</v>
      </c>
      <c r="B33" s="24" t="s">
        <v>858</v>
      </c>
      <c r="C33" s="24" t="s">
        <v>859</v>
      </c>
      <c r="D33" s="131" t="s">
        <v>917</v>
      </c>
      <c r="E33" s="132">
        <v>81400</v>
      </c>
      <c r="F33" s="131" t="s">
        <v>918</v>
      </c>
    </row>
    <row r="34" s="1" customFormat="1" ht="13.85" spans="1:6">
      <c r="A34" s="130">
        <v>46259</v>
      </c>
      <c r="B34" s="24" t="s">
        <v>932</v>
      </c>
      <c r="C34" s="24" t="s">
        <v>872</v>
      </c>
      <c r="D34" s="131" t="s">
        <v>917</v>
      </c>
      <c r="E34" s="132">
        <v>37125</v>
      </c>
      <c r="F34" s="131" t="s">
        <v>918</v>
      </c>
    </row>
    <row r="35" s="1" customFormat="1" ht="13.85" spans="1:6">
      <c r="A35" s="130">
        <v>46259</v>
      </c>
      <c r="B35" s="24" t="s">
        <v>929</v>
      </c>
      <c r="C35" s="24" t="s">
        <v>865</v>
      </c>
      <c r="D35" s="131" t="s">
        <v>917</v>
      </c>
      <c r="E35" s="132">
        <v>74250</v>
      </c>
      <c r="F35" s="131" t="s">
        <v>918</v>
      </c>
    </row>
    <row r="36" s="1" customFormat="1" ht="13.85" spans="1:6">
      <c r="A36" s="130">
        <v>46259</v>
      </c>
      <c r="B36" s="24" t="s">
        <v>821</v>
      </c>
      <c r="C36" s="24" t="s">
        <v>863</v>
      </c>
      <c r="D36" s="131" t="s">
        <v>917</v>
      </c>
      <c r="E36" s="132">
        <v>74250</v>
      </c>
      <c r="F36" s="131" t="s">
        <v>918</v>
      </c>
    </row>
    <row r="37" s="1" customFormat="1" ht="13.85" spans="1:6">
      <c r="A37" s="130">
        <v>46272</v>
      </c>
      <c r="B37" s="24" t="s">
        <v>833</v>
      </c>
      <c r="C37" s="24" t="s">
        <v>880</v>
      </c>
      <c r="D37" s="131" t="s">
        <v>281</v>
      </c>
      <c r="E37" s="132">
        <v>54075</v>
      </c>
      <c r="F37" s="131" t="s">
        <v>933</v>
      </c>
    </row>
    <row r="38" s="1" customFormat="1" ht="13.85" spans="1:6">
      <c r="A38" s="130">
        <v>46276</v>
      </c>
      <c r="B38" s="23" t="s">
        <v>860</v>
      </c>
      <c r="C38" s="24" t="s">
        <v>870</v>
      </c>
      <c r="D38" s="131" t="s">
        <v>917</v>
      </c>
      <c r="E38" s="132">
        <v>77000</v>
      </c>
      <c r="F38" s="131" t="s">
        <v>918</v>
      </c>
    </row>
    <row r="39" s="1" customFormat="1" ht="13.85" spans="1:6">
      <c r="A39" s="130">
        <v>46283</v>
      </c>
      <c r="B39" s="24" t="s">
        <v>821</v>
      </c>
      <c r="C39" s="24" t="s">
        <v>873</v>
      </c>
      <c r="D39" s="131" t="s">
        <v>917</v>
      </c>
      <c r="E39" s="132">
        <v>154000</v>
      </c>
      <c r="F39" s="131" t="s">
        <v>918</v>
      </c>
    </row>
    <row r="40" s="1" customFormat="1" ht="13.85" spans="1:6">
      <c r="A40" s="130">
        <v>46288</v>
      </c>
      <c r="B40" s="24" t="s">
        <v>833</v>
      </c>
      <c r="C40" s="24" t="s">
        <v>885</v>
      </c>
      <c r="D40" s="131" t="s">
        <v>281</v>
      </c>
      <c r="E40" s="132">
        <v>50995</v>
      </c>
      <c r="F40" s="131" t="s">
        <v>933</v>
      </c>
    </row>
    <row r="41" s="1" customFormat="1" ht="13.85" spans="1:6">
      <c r="A41" s="130">
        <v>46307</v>
      </c>
      <c r="B41" s="24" t="s">
        <v>847</v>
      </c>
      <c r="C41" s="24" t="s">
        <v>898</v>
      </c>
      <c r="D41" s="131" t="s">
        <v>281</v>
      </c>
      <c r="E41" s="132">
        <v>42390</v>
      </c>
      <c r="F41" s="131" t="s">
        <v>373</v>
      </c>
    </row>
    <row r="42" s="1" customFormat="1" ht="13.85" spans="1:6">
      <c r="A42" s="133">
        <v>46316</v>
      </c>
      <c r="B42" s="56" t="s">
        <v>836</v>
      </c>
      <c r="C42" s="56" t="s">
        <v>902</v>
      </c>
      <c r="D42" s="134" t="s">
        <v>281</v>
      </c>
      <c r="E42" s="135">
        <v>23616</v>
      </c>
      <c r="F42" s="134" t="s">
        <v>934</v>
      </c>
    </row>
    <row r="43" s="1" customFormat="1" ht="13.85" spans="1:6">
      <c r="A43" s="133">
        <v>46316</v>
      </c>
      <c r="B43" s="56" t="s">
        <v>836</v>
      </c>
      <c r="C43" s="56" t="s">
        <v>902</v>
      </c>
      <c r="D43" s="134" t="s">
        <v>281</v>
      </c>
      <c r="E43" s="135">
        <v>27552</v>
      </c>
      <c r="F43" s="134" t="s">
        <v>935</v>
      </c>
    </row>
  </sheetData>
  <autoFilter xmlns:etc="http://www.wps.cn/officeDocument/2017/etCustomData" ref="C1:C43" etc:filterBottomFollowUsedRange="0">
    <extLst/>
  </autoFilter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"/>
  <sheetViews>
    <sheetView zoomScale="85" zoomScaleNormal="85" topLeftCell="A72" workbookViewId="0">
      <selection activeCell="A118" sqref="A118"/>
    </sheetView>
  </sheetViews>
  <sheetFormatPr defaultColWidth="9.02654867256637" defaultRowHeight="13.5"/>
  <cols>
    <col min="1" max="1" width="8.96460176991151" customWidth="1"/>
    <col min="2" max="2" width="23.1769911504425" customWidth="1"/>
    <col min="3" max="3" width="27.6194690265487" customWidth="1"/>
    <col min="4" max="4" width="8.96460176991151" customWidth="1"/>
    <col min="5" max="5" width="5.24778761061947" customWidth="1"/>
    <col min="6" max="6" width="19.5929203539823" style="4" customWidth="1"/>
    <col min="7" max="7" width="12.5132743362832" customWidth="1"/>
    <col min="8" max="9" width="7.10619469026549" customWidth="1"/>
    <col min="10" max="10" width="8.96460176991151" customWidth="1"/>
    <col min="11" max="11" width="9.24778761061947" customWidth="1"/>
  </cols>
  <sheetData>
    <row r="1" spans="1:11">
      <c r="A1" s="5" t="s">
        <v>407</v>
      </c>
      <c r="B1" s="5" t="s">
        <v>279</v>
      </c>
      <c r="C1" s="5" t="s">
        <v>4</v>
      </c>
      <c r="D1" s="5" t="s">
        <v>408</v>
      </c>
      <c r="E1" s="5" t="s">
        <v>409</v>
      </c>
      <c r="F1" s="5" t="s">
        <v>18</v>
      </c>
      <c r="G1" s="5" t="s">
        <v>410</v>
      </c>
      <c r="H1" s="5" t="s">
        <v>411</v>
      </c>
      <c r="I1" s="5" t="s">
        <v>412</v>
      </c>
      <c r="J1" s="5" t="s">
        <v>413</v>
      </c>
      <c r="K1" s="5" t="s">
        <v>414</v>
      </c>
    </row>
    <row r="2" s="122" customFormat="1" ht="14" customHeight="1" spans="1:11">
      <c r="A2" s="22">
        <v>46045</v>
      </c>
      <c r="B2" s="25" t="s">
        <v>816</v>
      </c>
      <c r="C2" s="25" t="s">
        <v>817</v>
      </c>
      <c r="D2" s="25" t="s">
        <v>818</v>
      </c>
      <c r="E2" s="25">
        <v>5</v>
      </c>
      <c r="F2" s="25" t="s">
        <v>819</v>
      </c>
      <c r="G2" s="25" t="s">
        <v>936</v>
      </c>
      <c r="H2" s="25"/>
      <c r="I2" s="25"/>
      <c r="J2" s="25" t="s">
        <v>937</v>
      </c>
      <c r="K2" s="25" t="s">
        <v>938</v>
      </c>
    </row>
    <row r="3" s="122" customFormat="1" ht="14" customHeight="1" spans="1:11">
      <c r="A3" s="22">
        <v>46066</v>
      </c>
      <c r="B3" s="25" t="s">
        <v>927</v>
      </c>
      <c r="C3" s="25" t="s">
        <v>822</v>
      </c>
      <c r="D3" s="25" t="s">
        <v>823</v>
      </c>
      <c r="E3" s="25">
        <v>27.5</v>
      </c>
      <c r="F3" s="25" t="s">
        <v>814</v>
      </c>
      <c r="G3" s="25" t="s">
        <v>431</v>
      </c>
      <c r="H3" s="25" t="s">
        <v>939</v>
      </c>
      <c r="I3" s="25" t="s">
        <v>940</v>
      </c>
      <c r="J3" s="25" t="s">
        <v>941</v>
      </c>
      <c r="K3" s="25" t="s">
        <v>466</v>
      </c>
    </row>
    <row r="4" s="122" customFormat="1" ht="14" customHeight="1" spans="1:11">
      <c r="A4" s="22">
        <v>46066</v>
      </c>
      <c r="B4" s="25" t="s">
        <v>927</v>
      </c>
      <c r="C4" s="25" t="s">
        <v>822</v>
      </c>
      <c r="D4" s="25" t="s">
        <v>823</v>
      </c>
      <c r="E4" s="25">
        <v>27.5</v>
      </c>
      <c r="F4" s="25" t="s">
        <v>814</v>
      </c>
      <c r="G4" s="25" t="s">
        <v>431</v>
      </c>
      <c r="H4" s="25" t="s">
        <v>939</v>
      </c>
      <c r="I4" s="25" t="s">
        <v>942</v>
      </c>
      <c r="J4" s="25" t="s">
        <v>943</v>
      </c>
      <c r="K4" s="25" t="s">
        <v>466</v>
      </c>
    </row>
    <row r="5" s="122" customFormat="1" ht="14" customHeight="1" spans="1:11">
      <c r="A5" s="22">
        <v>46066</v>
      </c>
      <c r="B5" s="25" t="s">
        <v>927</v>
      </c>
      <c r="C5" s="25" t="s">
        <v>822</v>
      </c>
      <c r="D5" s="25" t="s">
        <v>823</v>
      </c>
      <c r="E5" s="25">
        <v>27.5</v>
      </c>
      <c r="F5" s="25" t="s">
        <v>814</v>
      </c>
      <c r="G5" s="25" t="s">
        <v>431</v>
      </c>
      <c r="H5" s="25" t="s">
        <v>939</v>
      </c>
      <c r="I5" s="25" t="s">
        <v>944</v>
      </c>
      <c r="J5" s="25" t="s">
        <v>945</v>
      </c>
      <c r="K5" s="25" t="s">
        <v>466</v>
      </c>
    </row>
    <row r="6" s="33" customFormat="1" ht="14" customHeight="1" spans="1:11">
      <c r="A6" s="22">
        <v>46098</v>
      </c>
      <c r="B6" s="25" t="s">
        <v>836</v>
      </c>
      <c r="C6" s="25" t="s">
        <v>837</v>
      </c>
      <c r="D6" s="25" t="s">
        <v>823</v>
      </c>
      <c r="E6" s="25">
        <v>20</v>
      </c>
      <c r="F6" s="25" t="s">
        <v>946</v>
      </c>
      <c r="G6" s="25" t="s">
        <v>947</v>
      </c>
      <c r="H6" s="25"/>
      <c r="I6" s="25"/>
      <c r="J6" s="25" t="s">
        <v>948</v>
      </c>
      <c r="K6" s="25" t="s">
        <v>949</v>
      </c>
    </row>
    <row r="7" s="33" customFormat="1" ht="14" customHeight="1" spans="1:11">
      <c r="A7" s="22">
        <v>46102</v>
      </c>
      <c r="B7" s="25" t="s">
        <v>847</v>
      </c>
      <c r="C7" s="25" t="s">
        <v>848</v>
      </c>
      <c r="D7" s="25" t="s">
        <v>849</v>
      </c>
      <c r="E7" s="25">
        <v>5</v>
      </c>
      <c r="F7" s="25" t="s">
        <v>946</v>
      </c>
      <c r="G7" s="124" t="s">
        <v>431</v>
      </c>
      <c r="H7" s="25"/>
      <c r="I7" s="25"/>
      <c r="J7" s="124" t="s">
        <v>950</v>
      </c>
      <c r="K7" s="124" t="s">
        <v>466</v>
      </c>
    </row>
    <row r="8" s="33" customFormat="1" ht="14" customHeight="1" spans="1:11">
      <c r="A8" s="22">
        <v>46102</v>
      </c>
      <c r="B8" s="25" t="s">
        <v>847</v>
      </c>
      <c r="C8" s="25" t="s">
        <v>848</v>
      </c>
      <c r="D8" s="25" t="s">
        <v>818</v>
      </c>
      <c r="E8" s="25">
        <v>22</v>
      </c>
      <c r="F8" s="25" t="s">
        <v>946</v>
      </c>
      <c r="G8" s="28"/>
      <c r="H8" s="25"/>
      <c r="I8" s="25"/>
      <c r="J8" s="28"/>
      <c r="K8" s="28"/>
    </row>
    <row r="9" s="33" customFormat="1" ht="14" customHeight="1" spans="1:11">
      <c r="A9" s="22">
        <v>46105</v>
      </c>
      <c r="B9" s="25" t="s">
        <v>836</v>
      </c>
      <c r="C9" s="25" t="s">
        <v>846</v>
      </c>
      <c r="D9" s="25" t="s">
        <v>823</v>
      </c>
      <c r="E9" s="25">
        <v>20</v>
      </c>
      <c r="F9" s="25" t="s">
        <v>946</v>
      </c>
      <c r="G9" s="25" t="s">
        <v>947</v>
      </c>
      <c r="H9" s="25"/>
      <c r="I9" s="25"/>
      <c r="J9" s="25" t="s">
        <v>951</v>
      </c>
      <c r="K9" s="25" t="s">
        <v>949</v>
      </c>
    </row>
    <row r="10" s="33" customFormat="1" ht="14" customHeight="1" spans="1:11">
      <c r="A10" s="22">
        <v>46109</v>
      </c>
      <c r="B10" s="25" t="s">
        <v>839</v>
      </c>
      <c r="C10" s="25" t="s">
        <v>840</v>
      </c>
      <c r="D10" s="25" t="s">
        <v>806</v>
      </c>
      <c r="E10" s="25">
        <v>23.4</v>
      </c>
      <c r="F10" s="25" t="s">
        <v>952</v>
      </c>
      <c r="G10" s="25" t="s">
        <v>431</v>
      </c>
      <c r="H10" s="25"/>
      <c r="I10" s="25"/>
      <c r="J10" s="25" t="s">
        <v>953</v>
      </c>
      <c r="K10" s="25" t="s">
        <v>466</v>
      </c>
    </row>
    <row r="11" s="33" customFormat="1" ht="14" customHeight="1" spans="1:11">
      <c r="A11" s="22">
        <v>46109</v>
      </c>
      <c r="B11" s="25" t="s">
        <v>839</v>
      </c>
      <c r="C11" s="25" t="s">
        <v>840</v>
      </c>
      <c r="D11" s="25" t="s">
        <v>806</v>
      </c>
      <c r="E11" s="25">
        <v>23.4</v>
      </c>
      <c r="F11" s="25" t="s">
        <v>952</v>
      </c>
      <c r="G11" s="25" t="s">
        <v>431</v>
      </c>
      <c r="H11" s="25"/>
      <c r="I11" s="25"/>
      <c r="J11" s="25" t="s">
        <v>954</v>
      </c>
      <c r="K11" s="25" t="s">
        <v>466</v>
      </c>
    </row>
    <row r="12" s="33" customFormat="1" ht="14" customHeight="1" spans="1:11">
      <c r="A12" s="22">
        <v>46109</v>
      </c>
      <c r="B12" s="25" t="s">
        <v>839</v>
      </c>
      <c r="C12" s="25" t="s">
        <v>840</v>
      </c>
      <c r="D12" s="25" t="s">
        <v>806</v>
      </c>
      <c r="E12" s="25">
        <v>23.4</v>
      </c>
      <c r="F12" s="25" t="s">
        <v>952</v>
      </c>
      <c r="G12" s="25" t="s">
        <v>431</v>
      </c>
      <c r="H12" s="25"/>
      <c r="I12" s="25"/>
      <c r="J12" s="25" t="s">
        <v>955</v>
      </c>
      <c r="K12" s="25" t="s">
        <v>466</v>
      </c>
    </row>
    <row r="13" s="33" customFormat="1" ht="14" customHeight="1" spans="1:11">
      <c r="A13" s="22">
        <v>46109</v>
      </c>
      <c r="B13" s="25" t="s">
        <v>839</v>
      </c>
      <c r="C13" s="25" t="s">
        <v>840</v>
      </c>
      <c r="D13" s="25" t="s">
        <v>806</v>
      </c>
      <c r="E13" s="25">
        <v>23.4</v>
      </c>
      <c r="F13" s="25" t="s">
        <v>952</v>
      </c>
      <c r="G13" s="25" t="s">
        <v>431</v>
      </c>
      <c r="H13" s="25"/>
      <c r="I13" s="25"/>
      <c r="J13" s="25" t="s">
        <v>956</v>
      </c>
      <c r="K13" s="25" t="s">
        <v>466</v>
      </c>
    </row>
    <row r="14" s="33" customFormat="1" ht="14" customHeight="1" spans="1:11">
      <c r="A14" s="22">
        <v>46109</v>
      </c>
      <c r="B14" s="25" t="s">
        <v>839</v>
      </c>
      <c r="C14" s="25" t="s">
        <v>840</v>
      </c>
      <c r="D14" s="25" t="s">
        <v>806</v>
      </c>
      <c r="E14" s="25">
        <v>23.4</v>
      </c>
      <c r="F14" s="25" t="s">
        <v>952</v>
      </c>
      <c r="G14" s="25" t="s">
        <v>431</v>
      </c>
      <c r="H14" s="25"/>
      <c r="I14" s="25"/>
      <c r="J14" s="25" t="s">
        <v>957</v>
      </c>
      <c r="K14" s="25" t="s">
        <v>466</v>
      </c>
    </row>
    <row r="15" s="33" customFormat="1" ht="14" customHeight="1" spans="1:11">
      <c r="A15" s="22">
        <v>46110</v>
      </c>
      <c r="B15" s="25" t="s">
        <v>839</v>
      </c>
      <c r="C15" s="25" t="s">
        <v>840</v>
      </c>
      <c r="D15" s="25" t="s">
        <v>806</v>
      </c>
      <c r="E15" s="25">
        <v>23.4</v>
      </c>
      <c r="F15" s="25" t="s">
        <v>952</v>
      </c>
      <c r="G15" s="25" t="s">
        <v>431</v>
      </c>
      <c r="H15" s="25"/>
      <c r="I15" s="25"/>
      <c r="J15" s="25" t="s">
        <v>958</v>
      </c>
      <c r="K15" s="25" t="s">
        <v>466</v>
      </c>
    </row>
    <row r="16" s="33" customFormat="1" ht="14" customHeight="1" spans="1:11">
      <c r="A16" s="22">
        <v>46110</v>
      </c>
      <c r="B16" s="25" t="s">
        <v>839</v>
      </c>
      <c r="C16" s="25" t="s">
        <v>840</v>
      </c>
      <c r="D16" s="25" t="s">
        <v>806</v>
      </c>
      <c r="E16" s="25">
        <v>23.4</v>
      </c>
      <c r="F16" s="25" t="s">
        <v>952</v>
      </c>
      <c r="G16" s="25" t="s">
        <v>431</v>
      </c>
      <c r="H16" s="25"/>
      <c r="I16" s="25"/>
      <c r="J16" s="25" t="s">
        <v>959</v>
      </c>
      <c r="K16" s="25" t="s">
        <v>466</v>
      </c>
    </row>
    <row r="17" s="33" customFormat="1" ht="14" customHeight="1" spans="1:11">
      <c r="A17" s="22">
        <v>46110</v>
      </c>
      <c r="B17" s="25" t="s">
        <v>839</v>
      </c>
      <c r="C17" s="25" t="s">
        <v>840</v>
      </c>
      <c r="D17" s="25" t="s">
        <v>806</v>
      </c>
      <c r="E17" s="25">
        <v>23.4</v>
      </c>
      <c r="F17" s="25" t="s">
        <v>952</v>
      </c>
      <c r="G17" s="25" t="s">
        <v>431</v>
      </c>
      <c r="H17" s="25"/>
      <c r="I17" s="25"/>
      <c r="J17" s="25" t="s">
        <v>960</v>
      </c>
      <c r="K17" s="25" t="s">
        <v>466</v>
      </c>
    </row>
    <row r="18" s="33" customFormat="1" ht="14" customHeight="1" spans="1:11">
      <c r="A18" s="22">
        <v>46110</v>
      </c>
      <c r="B18" s="25" t="s">
        <v>839</v>
      </c>
      <c r="C18" s="25" t="s">
        <v>840</v>
      </c>
      <c r="D18" s="25" t="s">
        <v>806</v>
      </c>
      <c r="E18" s="25">
        <v>23.4</v>
      </c>
      <c r="F18" s="25" t="s">
        <v>952</v>
      </c>
      <c r="G18" s="25" t="s">
        <v>431</v>
      </c>
      <c r="H18" s="25"/>
      <c r="I18" s="25"/>
      <c r="J18" s="25" t="s">
        <v>961</v>
      </c>
      <c r="K18" s="25" t="s">
        <v>466</v>
      </c>
    </row>
    <row r="19" s="33" customFormat="1" ht="13" customHeight="1" spans="1:11">
      <c r="A19" s="22">
        <v>46110</v>
      </c>
      <c r="B19" s="25" t="s">
        <v>839</v>
      </c>
      <c r="C19" s="25" t="s">
        <v>840</v>
      </c>
      <c r="D19" s="25" t="s">
        <v>806</v>
      </c>
      <c r="E19" s="25">
        <v>23.4</v>
      </c>
      <c r="F19" s="25" t="s">
        <v>952</v>
      </c>
      <c r="G19" s="25" t="s">
        <v>431</v>
      </c>
      <c r="H19" s="25"/>
      <c r="I19" s="25"/>
      <c r="J19" s="25" t="s">
        <v>962</v>
      </c>
      <c r="K19" s="25" t="s">
        <v>466</v>
      </c>
    </row>
    <row r="20" s="33" customFormat="1" ht="13" customHeight="1" spans="1:11">
      <c r="A20" s="22">
        <v>46134</v>
      </c>
      <c r="B20" s="25" t="s">
        <v>963</v>
      </c>
      <c r="C20" s="25" t="s">
        <v>964</v>
      </c>
      <c r="D20" s="25" t="s">
        <v>812</v>
      </c>
      <c r="E20" s="25">
        <v>27.5</v>
      </c>
      <c r="F20" s="25" t="s">
        <v>814</v>
      </c>
      <c r="G20" s="25" t="s">
        <v>431</v>
      </c>
      <c r="H20" s="25"/>
      <c r="I20" s="25"/>
      <c r="J20" s="25" t="s">
        <v>965</v>
      </c>
      <c r="K20" s="25"/>
    </row>
    <row r="21" s="33" customFormat="1" ht="13" customHeight="1" spans="1:11">
      <c r="A21" s="22">
        <v>46134</v>
      </c>
      <c r="B21" s="25" t="s">
        <v>830</v>
      </c>
      <c r="C21" s="25" t="s">
        <v>855</v>
      </c>
      <c r="D21" s="25" t="s">
        <v>818</v>
      </c>
      <c r="E21" s="25">
        <v>27.5</v>
      </c>
      <c r="F21" s="25" t="s">
        <v>814</v>
      </c>
      <c r="G21" s="25" t="s">
        <v>431</v>
      </c>
      <c r="H21" s="25"/>
      <c r="I21" s="25"/>
      <c r="J21" s="25" t="s">
        <v>966</v>
      </c>
      <c r="K21" s="25"/>
    </row>
    <row r="22" s="33" customFormat="1" ht="13" customHeight="1" spans="1:11">
      <c r="A22" s="22">
        <v>46134</v>
      </c>
      <c r="B22" s="25" t="s">
        <v>830</v>
      </c>
      <c r="C22" s="25" t="s">
        <v>855</v>
      </c>
      <c r="D22" s="25" t="s">
        <v>818</v>
      </c>
      <c r="E22" s="25">
        <v>27.5</v>
      </c>
      <c r="F22" s="25" t="s">
        <v>814</v>
      </c>
      <c r="G22" s="25" t="s">
        <v>431</v>
      </c>
      <c r="H22" s="25"/>
      <c r="I22" s="25"/>
      <c r="J22" s="25" t="s">
        <v>967</v>
      </c>
      <c r="K22" s="25"/>
    </row>
    <row r="23" s="33" customFormat="1" ht="13" customHeight="1" spans="1:11">
      <c r="A23" s="22">
        <v>46135</v>
      </c>
      <c r="B23" s="25" t="s">
        <v>860</v>
      </c>
      <c r="C23" s="25" t="s">
        <v>861</v>
      </c>
      <c r="D23" s="25" t="s">
        <v>827</v>
      </c>
      <c r="E23" s="25">
        <v>27.5</v>
      </c>
      <c r="F23" s="25" t="s">
        <v>814</v>
      </c>
      <c r="G23" s="25" t="s">
        <v>431</v>
      </c>
      <c r="H23" s="25"/>
      <c r="I23" s="25"/>
      <c r="J23" s="25" t="s">
        <v>428</v>
      </c>
      <c r="K23" s="25"/>
    </row>
    <row r="24" s="33" customFormat="1" ht="13" customHeight="1" spans="1:11">
      <c r="A24" s="22">
        <v>46136</v>
      </c>
      <c r="B24" s="25" t="s">
        <v>927</v>
      </c>
      <c r="C24" s="25" t="s">
        <v>856</v>
      </c>
      <c r="D24" s="25" t="s">
        <v>823</v>
      </c>
      <c r="E24" s="25">
        <v>27.5</v>
      </c>
      <c r="F24" s="25" t="s">
        <v>814</v>
      </c>
      <c r="G24" s="25" t="s">
        <v>431</v>
      </c>
      <c r="H24" s="25"/>
      <c r="I24" s="25"/>
      <c r="J24" s="25" t="s">
        <v>968</v>
      </c>
      <c r="K24" s="25"/>
    </row>
    <row r="25" s="33" customFormat="1" ht="13" customHeight="1" spans="1:11">
      <c r="A25" s="22">
        <v>46136</v>
      </c>
      <c r="B25" s="25" t="s">
        <v>927</v>
      </c>
      <c r="C25" s="25" t="s">
        <v>856</v>
      </c>
      <c r="D25" s="25" t="s">
        <v>823</v>
      </c>
      <c r="E25" s="25">
        <v>27.5</v>
      </c>
      <c r="F25" s="25" t="s">
        <v>814</v>
      </c>
      <c r="G25" s="25" t="s">
        <v>431</v>
      </c>
      <c r="H25" s="25"/>
      <c r="I25" s="25"/>
      <c r="J25" s="25" t="s">
        <v>965</v>
      </c>
      <c r="K25" s="25"/>
    </row>
    <row r="26" s="33" customFormat="1" ht="13" customHeight="1" spans="1:11">
      <c r="A26" s="22">
        <v>46142</v>
      </c>
      <c r="B26" s="25" t="s">
        <v>963</v>
      </c>
      <c r="C26" s="25" t="s">
        <v>928</v>
      </c>
      <c r="D26" s="25" t="s">
        <v>812</v>
      </c>
      <c r="E26" s="25">
        <v>27.5</v>
      </c>
      <c r="F26" s="25" t="s">
        <v>814</v>
      </c>
      <c r="G26" s="25" t="s">
        <v>431</v>
      </c>
      <c r="H26" s="25"/>
      <c r="I26" s="25"/>
      <c r="J26" s="25" t="s">
        <v>428</v>
      </c>
      <c r="K26" s="25"/>
    </row>
    <row r="27" s="33" customFormat="1" ht="13" customHeight="1" spans="1:11">
      <c r="A27" s="22">
        <v>46144</v>
      </c>
      <c r="B27" s="23" t="s">
        <v>842</v>
      </c>
      <c r="C27" s="24" t="s">
        <v>843</v>
      </c>
      <c r="D27" s="24" t="s">
        <v>844</v>
      </c>
      <c r="E27" s="25">
        <v>20</v>
      </c>
      <c r="F27" s="24" t="s">
        <v>845</v>
      </c>
      <c r="G27" s="25" t="s">
        <v>431</v>
      </c>
      <c r="H27" s="25"/>
      <c r="I27" s="25"/>
      <c r="J27" s="25" t="s">
        <v>969</v>
      </c>
      <c r="K27" s="25"/>
    </row>
    <row r="28" s="33" customFormat="1" ht="13" customHeight="1" spans="1:11">
      <c r="A28" s="22">
        <v>46144</v>
      </c>
      <c r="B28" s="23" t="s">
        <v>842</v>
      </c>
      <c r="C28" s="24" t="s">
        <v>843</v>
      </c>
      <c r="D28" s="24" t="s">
        <v>844</v>
      </c>
      <c r="E28" s="25">
        <v>20</v>
      </c>
      <c r="F28" s="24" t="s">
        <v>845</v>
      </c>
      <c r="G28" s="25" t="s">
        <v>431</v>
      </c>
      <c r="H28" s="25"/>
      <c r="I28" s="25"/>
      <c r="J28" s="25" t="s">
        <v>970</v>
      </c>
      <c r="K28" s="25"/>
    </row>
    <row r="29" s="33" customFormat="1" ht="13" customHeight="1" spans="1:11">
      <c r="A29" s="22">
        <v>46144</v>
      </c>
      <c r="B29" s="23" t="s">
        <v>842</v>
      </c>
      <c r="C29" s="24" t="s">
        <v>843</v>
      </c>
      <c r="D29" s="24" t="s">
        <v>844</v>
      </c>
      <c r="E29" s="25">
        <v>20</v>
      </c>
      <c r="F29" s="24" t="s">
        <v>845</v>
      </c>
      <c r="G29" s="25" t="s">
        <v>431</v>
      </c>
      <c r="H29" s="25"/>
      <c r="I29" s="25"/>
      <c r="J29" s="25" t="s">
        <v>971</v>
      </c>
      <c r="K29" s="25"/>
    </row>
    <row r="30" s="33" customFormat="1" ht="13" customHeight="1" spans="1:11">
      <c r="A30" s="22">
        <v>46144</v>
      </c>
      <c r="B30" s="23" t="s">
        <v>842</v>
      </c>
      <c r="C30" s="24" t="s">
        <v>843</v>
      </c>
      <c r="D30" s="24" t="s">
        <v>844</v>
      </c>
      <c r="E30" s="25">
        <v>20</v>
      </c>
      <c r="F30" s="24" t="s">
        <v>845</v>
      </c>
      <c r="G30" s="25" t="s">
        <v>431</v>
      </c>
      <c r="H30" s="25"/>
      <c r="I30" s="25"/>
      <c r="J30" s="25" t="s">
        <v>972</v>
      </c>
      <c r="K30" s="25"/>
    </row>
    <row r="31" s="33" customFormat="1" ht="13" customHeight="1" spans="1:11">
      <c r="A31" s="22">
        <v>46149</v>
      </c>
      <c r="B31" s="25" t="s">
        <v>963</v>
      </c>
      <c r="C31" s="25" t="s">
        <v>919</v>
      </c>
      <c r="D31" s="25" t="s">
        <v>818</v>
      </c>
      <c r="E31" s="25">
        <v>27.5</v>
      </c>
      <c r="F31" s="25" t="s">
        <v>814</v>
      </c>
      <c r="G31" s="25" t="s">
        <v>431</v>
      </c>
      <c r="H31" s="25"/>
      <c r="I31" s="25"/>
      <c r="J31" s="25" t="s">
        <v>973</v>
      </c>
      <c r="K31" s="25"/>
    </row>
    <row r="32" s="33" customFormat="1" ht="13" customHeight="1" spans="1:11">
      <c r="A32" s="22">
        <v>46150</v>
      </c>
      <c r="B32" s="25" t="s">
        <v>868</v>
      </c>
      <c r="C32" s="25" t="s">
        <v>869</v>
      </c>
      <c r="D32" s="25" t="s">
        <v>827</v>
      </c>
      <c r="E32" s="25">
        <v>10</v>
      </c>
      <c r="F32" s="25" t="s">
        <v>974</v>
      </c>
      <c r="G32" s="25" t="s">
        <v>431</v>
      </c>
      <c r="H32" s="25"/>
      <c r="I32" s="25"/>
      <c r="J32" s="25" t="s">
        <v>975</v>
      </c>
      <c r="K32" s="25"/>
    </row>
    <row r="33" s="33" customFormat="1" ht="13" customHeight="1" spans="1:11">
      <c r="A33" s="22">
        <v>46153</v>
      </c>
      <c r="B33" s="25" t="s">
        <v>839</v>
      </c>
      <c r="C33" s="25" t="s">
        <v>853</v>
      </c>
      <c r="D33" s="25" t="s">
        <v>806</v>
      </c>
      <c r="E33" s="25">
        <v>23.4</v>
      </c>
      <c r="F33" s="25" t="s">
        <v>952</v>
      </c>
      <c r="G33" s="25" t="s">
        <v>431</v>
      </c>
      <c r="H33" s="25"/>
      <c r="I33" s="25"/>
      <c r="J33" s="25" t="s">
        <v>976</v>
      </c>
      <c r="K33" s="25"/>
    </row>
    <row r="34" s="33" customFormat="1" ht="13" customHeight="1" spans="1:11">
      <c r="A34" s="22">
        <v>46153</v>
      </c>
      <c r="B34" s="25" t="s">
        <v>839</v>
      </c>
      <c r="C34" s="25" t="s">
        <v>853</v>
      </c>
      <c r="D34" s="25" t="s">
        <v>806</v>
      </c>
      <c r="E34" s="25">
        <v>23.4</v>
      </c>
      <c r="F34" s="25" t="s">
        <v>952</v>
      </c>
      <c r="G34" s="25" t="s">
        <v>431</v>
      </c>
      <c r="H34" s="25"/>
      <c r="I34" s="25"/>
      <c r="J34" s="25" t="s">
        <v>977</v>
      </c>
      <c r="K34" s="25"/>
    </row>
    <row r="35" s="33" customFormat="1" ht="13" customHeight="1" spans="1:11">
      <c r="A35" s="22">
        <v>46153</v>
      </c>
      <c r="B35" s="25" t="s">
        <v>839</v>
      </c>
      <c r="C35" s="25" t="s">
        <v>853</v>
      </c>
      <c r="D35" s="25" t="s">
        <v>806</v>
      </c>
      <c r="E35" s="25">
        <v>23.4</v>
      </c>
      <c r="F35" s="25" t="s">
        <v>952</v>
      </c>
      <c r="G35" s="25" t="s">
        <v>431</v>
      </c>
      <c r="H35" s="25"/>
      <c r="I35" s="25"/>
      <c r="J35" s="25" t="s">
        <v>978</v>
      </c>
      <c r="K35" s="25"/>
    </row>
    <row r="36" s="33" customFormat="1" ht="13" customHeight="1" spans="1:11">
      <c r="A36" s="22">
        <v>46153</v>
      </c>
      <c r="B36" s="25" t="s">
        <v>839</v>
      </c>
      <c r="C36" s="25" t="s">
        <v>853</v>
      </c>
      <c r="D36" s="25" t="s">
        <v>806</v>
      </c>
      <c r="E36" s="25">
        <v>23.4</v>
      </c>
      <c r="F36" s="25" t="s">
        <v>952</v>
      </c>
      <c r="G36" s="25" t="s">
        <v>431</v>
      </c>
      <c r="H36" s="25"/>
      <c r="I36" s="25"/>
      <c r="J36" s="25" t="s">
        <v>979</v>
      </c>
      <c r="K36" s="25"/>
    </row>
    <row r="37" s="33" customFormat="1" ht="13" customHeight="1" spans="1:11">
      <c r="A37" s="22">
        <v>46153</v>
      </c>
      <c r="B37" s="25" t="s">
        <v>839</v>
      </c>
      <c r="C37" s="25" t="s">
        <v>853</v>
      </c>
      <c r="D37" s="25" t="s">
        <v>806</v>
      </c>
      <c r="E37" s="25">
        <v>23.4</v>
      </c>
      <c r="F37" s="25" t="s">
        <v>952</v>
      </c>
      <c r="G37" s="25" t="s">
        <v>431</v>
      </c>
      <c r="H37" s="25"/>
      <c r="I37" s="25"/>
      <c r="J37" s="25" t="s">
        <v>980</v>
      </c>
      <c r="K37" s="25"/>
    </row>
    <row r="38" s="123" customFormat="1" ht="13" customHeight="1" spans="1:11">
      <c r="A38" s="125">
        <v>46154</v>
      </c>
      <c r="B38" s="126" t="s">
        <v>963</v>
      </c>
      <c r="C38" s="126" t="s">
        <v>922</v>
      </c>
      <c r="D38" s="126" t="s">
        <v>818</v>
      </c>
      <c r="E38" s="126">
        <v>27.5</v>
      </c>
      <c r="F38" s="126" t="s">
        <v>814</v>
      </c>
      <c r="G38" s="126" t="s">
        <v>431</v>
      </c>
      <c r="H38" s="126"/>
      <c r="I38" s="126"/>
      <c r="J38" s="126" t="s">
        <v>981</v>
      </c>
      <c r="K38" s="126"/>
    </row>
    <row r="39" s="33" customFormat="1" ht="13" customHeight="1" spans="1:11">
      <c r="A39" s="22">
        <v>46154</v>
      </c>
      <c r="B39" s="25" t="s">
        <v>839</v>
      </c>
      <c r="C39" s="25" t="s">
        <v>853</v>
      </c>
      <c r="D39" s="25" t="s">
        <v>806</v>
      </c>
      <c r="E39" s="25">
        <v>23.4</v>
      </c>
      <c r="F39" s="25" t="s">
        <v>952</v>
      </c>
      <c r="G39" s="25" t="s">
        <v>431</v>
      </c>
      <c r="H39" s="25"/>
      <c r="I39" s="25"/>
      <c r="J39" s="25" t="s">
        <v>982</v>
      </c>
      <c r="K39" s="25"/>
    </row>
    <row r="40" s="33" customFormat="1" ht="13" customHeight="1" spans="1:11">
      <c r="A40" s="22">
        <v>46154</v>
      </c>
      <c r="B40" s="25" t="s">
        <v>839</v>
      </c>
      <c r="C40" s="25" t="s">
        <v>853</v>
      </c>
      <c r="D40" s="25" t="s">
        <v>806</v>
      </c>
      <c r="E40" s="25">
        <v>23.4</v>
      </c>
      <c r="F40" s="25" t="s">
        <v>952</v>
      </c>
      <c r="G40" s="25" t="s">
        <v>431</v>
      </c>
      <c r="H40" s="25"/>
      <c r="I40" s="25"/>
      <c r="J40" s="25" t="s">
        <v>983</v>
      </c>
      <c r="K40" s="25"/>
    </row>
    <row r="41" s="33" customFormat="1" ht="13" customHeight="1" spans="1:11">
      <c r="A41" s="22">
        <v>46154</v>
      </c>
      <c r="B41" s="25" t="s">
        <v>839</v>
      </c>
      <c r="C41" s="25" t="s">
        <v>853</v>
      </c>
      <c r="D41" s="25" t="s">
        <v>806</v>
      </c>
      <c r="E41" s="25">
        <v>23.4</v>
      </c>
      <c r="F41" s="25" t="s">
        <v>952</v>
      </c>
      <c r="G41" s="25" t="s">
        <v>431</v>
      </c>
      <c r="H41" s="25"/>
      <c r="I41" s="25"/>
      <c r="J41" s="25" t="s">
        <v>984</v>
      </c>
      <c r="K41" s="25"/>
    </row>
    <row r="42" s="33" customFormat="1" ht="13" customHeight="1" spans="1:11">
      <c r="A42" s="22">
        <v>46154</v>
      </c>
      <c r="B42" s="25" t="s">
        <v>839</v>
      </c>
      <c r="C42" s="25" t="s">
        <v>853</v>
      </c>
      <c r="D42" s="25" t="s">
        <v>806</v>
      </c>
      <c r="E42" s="25">
        <v>23.4</v>
      </c>
      <c r="F42" s="25" t="s">
        <v>952</v>
      </c>
      <c r="G42" s="25" t="s">
        <v>431</v>
      </c>
      <c r="H42" s="25"/>
      <c r="I42" s="25"/>
      <c r="J42" s="25" t="s">
        <v>985</v>
      </c>
      <c r="K42" s="25"/>
    </row>
    <row r="43" s="33" customFormat="1" ht="13" customHeight="1" spans="1:11">
      <c r="A43" s="22">
        <v>46154</v>
      </c>
      <c r="B43" s="25" t="s">
        <v>839</v>
      </c>
      <c r="C43" s="25" t="s">
        <v>853</v>
      </c>
      <c r="D43" s="25" t="s">
        <v>806</v>
      </c>
      <c r="E43" s="25">
        <v>23.4</v>
      </c>
      <c r="F43" s="25" t="s">
        <v>952</v>
      </c>
      <c r="G43" s="25" t="s">
        <v>431</v>
      </c>
      <c r="H43" s="25"/>
      <c r="I43" s="25"/>
      <c r="J43" s="25" t="s">
        <v>986</v>
      </c>
      <c r="K43" s="25"/>
    </row>
    <row r="44" s="33" customFormat="1" ht="13" customHeight="1" spans="1:11">
      <c r="A44" s="22">
        <v>46155</v>
      </c>
      <c r="B44" s="25" t="s">
        <v>825</v>
      </c>
      <c r="C44" s="25" t="s">
        <v>826</v>
      </c>
      <c r="D44" s="25" t="s">
        <v>827</v>
      </c>
      <c r="E44" s="25">
        <v>27.5</v>
      </c>
      <c r="F44" s="25" t="s">
        <v>814</v>
      </c>
      <c r="G44" s="25" t="s">
        <v>431</v>
      </c>
      <c r="H44" s="25"/>
      <c r="I44" s="25"/>
      <c r="J44" s="25" t="s">
        <v>987</v>
      </c>
      <c r="K44" s="25"/>
    </row>
    <row r="45" s="33" customFormat="1" ht="13" customHeight="1" spans="1:11">
      <c r="A45" s="22">
        <v>46155</v>
      </c>
      <c r="B45" s="25" t="s">
        <v>825</v>
      </c>
      <c r="C45" s="25" t="s">
        <v>826</v>
      </c>
      <c r="D45" s="25" t="s">
        <v>827</v>
      </c>
      <c r="E45" s="25">
        <v>27.5</v>
      </c>
      <c r="F45" s="25" t="s">
        <v>814</v>
      </c>
      <c r="G45" s="25" t="s">
        <v>431</v>
      </c>
      <c r="H45" s="25"/>
      <c r="I45" s="25"/>
      <c r="J45" s="25" t="s">
        <v>988</v>
      </c>
      <c r="K45" s="25"/>
    </row>
    <row r="46" s="33" customFormat="1" ht="13" customHeight="1" spans="1:11">
      <c r="A46" s="22">
        <v>46155</v>
      </c>
      <c r="B46" s="25" t="s">
        <v>825</v>
      </c>
      <c r="C46" s="25" t="s">
        <v>826</v>
      </c>
      <c r="D46" s="25" t="s">
        <v>827</v>
      </c>
      <c r="E46" s="25">
        <v>27.5</v>
      </c>
      <c r="F46" s="25" t="s">
        <v>814</v>
      </c>
      <c r="G46" s="25" t="s">
        <v>431</v>
      </c>
      <c r="H46" s="25"/>
      <c r="I46" s="25"/>
      <c r="J46" s="25" t="s">
        <v>989</v>
      </c>
      <c r="K46" s="25"/>
    </row>
    <row r="47" s="33" customFormat="1" ht="13" customHeight="1" spans="1:11">
      <c r="A47" s="22">
        <v>46155</v>
      </c>
      <c r="B47" s="25" t="s">
        <v>825</v>
      </c>
      <c r="C47" s="25" t="s">
        <v>826</v>
      </c>
      <c r="D47" s="25" t="s">
        <v>827</v>
      </c>
      <c r="E47" s="25">
        <v>27.5</v>
      </c>
      <c r="F47" s="25" t="s">
        <v>814</v>
      </c>
      <c r="G47" s="25" t="s">
        <v>431</v>
      </c>
      <c r="H47" s="25"/>
      <c r="I47" s="25"/>
      <c r="J47" s="25" t="s">
        <v>990</v>
      </c>
      <c r="K47" s="25"/>
    </row>
    <row r="48" s="33" customFormat="1" ht="13" customHeight="1" spans="1:11">
      <c r="A48" s="22">
        <v>46155</v>
      </c>
      <c r="B48" s="25" t="s">
        <v>839</v>
      </c>
      <c r="C48" s="25" t="s">
        <v>853</v>
      </c>
      <c r="D48" s="25" t="s">
        <v>806</v>
      </c>
      <c r="E48" s="25">
        <v>23.4</v>
      </c>
      <c r="F48" s="25" t="s">
        <v>952</v>
      </c>
      <c r="G48" s="25" t="s">
        <v>431</v>
      </c>
      <c r="H48" s="25"/>
      <c r="I48" s="25"/>
      <c r="J48" s="25" t="s">
        <v>991</v>
      </c>
      <c r="K48" s="25"/>
    </row>
    <row r="49" s="33" customFormat="1" ht="13" customHeight="1" spans="1:11">
      <c r="A49" s="22">
        <v>46155</v>
      </c>
      <c r="B49" s="25" t="s">
        <v>839</v>
      </c>
      <c r="C49" s="25" t="s">
        <v>853</v>
      </c>
      <c r="D49" s="25" t="s">
        <v>806</v>
      </c>
      <c r="E49" s="25">
        <v>23.4</v>
      </c>
      <c r="F49" s="25" t="s">
        <v>952</v>
      </c>
      <c r="G49" s="25" t="s">
        <v>431</v>
      </c>
      <c r="H49" s="25"/>
      <c r="I49" s="25"/>
      <c r="J49" s="25" t="s">
        <v>992</v>
      </c>
      <c r="K49" s="25"/>
    </row>
    <row r="50" s="33" customFormat="1" ht="13" customHeight="1" spans="1:11">
      <c r="A50" s="22">
        <v>46155</v>
      </c>
      <c r="B50" s="25" t="s">
        <v>839</v>
      </c>
      <c r="C50" s="25" t="s">
        <v>853</v>
      </c>
      <c r="D50" s="25" t="s">
        <v>806</v>
      </c>
      <c r="E50" s="25">
        <v>23.4</v>
      </c>
      <c r="F50" s="25" t="s">
        <v>952</v>
      </c>
      <c r="G50" s="25" t="s">
        <v>431</v>
      </c>
      <c r="H50" s="25"/>
      <c r="I50" s="25"/>
      <c r="J50" s="25" t="s">
        <v>993</v>
      </c>
      <c r="K50" s="25"/>
    </row>
    <row r="51" s="33" customFormat="1" ht="13" customHeight="1" spans="1:11">
      <c r="A51" s="22">
        <v>46155</v>
      </c>
      <c r="B51" s="25" t="s">
        <v>839</v>
      </c>
      <c r="C51" s="25" t="s">
        <v>853</v>
      </c>
      <c r="D51" s="25" t="s">
        <v>806</v>
      </c>
      <c r="E51" s="25">
        <v>23.4</v>
      </c>
      <c r="F51" s="25" t="s">
        <v>952</v>
      </c>
      <c r="G51" s="25" t="s">
        <v>431</v>
      </c>
      <c r="H51" s="25"/>
      <c r="I51" s="25"/>
      <c r="J51" s="25" t="s">
        <v>994</v>
      </c>
      <c r="K51" s="25"/>
    </row>
    <row r="52" s="33" customFormat="1" ht="13" customHeight="1" spans="1:11">
      <c r="A52" s="22">
        <v>46156</v>
      </c>
      <c r="B52" s="25" t="s">
        <v>830</v>
      </c>
      <c r="C52" s="25" t="s">
        <v>831</v>
      </c>
      <c r="D52" s="25" t="s">
        <v>818</v>
      </c>
      <c r="E52" s="25">
        <v>27.5</v>
      </c>
      <c r="F52" s="25" t="s">
        <v>814</v>
      </c>
      <c r="G52" s="25" t="s">
        <v>431</v>
      </c>
      <c r="H52" s="25"/>
      <c r="I52" s="25"/>
      <c r="J52" s="25" t="s">
        <v>995</v>
      </c>
      <c r="K52" s="25"/>
    </row>
    <row r="53" s="33" customFormat="1" ht="13" customHeight="1" spans="1:11">
      <c r="A53" s="22">
        <v>46156</v>
      </c>
      <c r="B53" s="25" t="s">
        <v>830</v>
      </c>
      <c r="C53" s="25" t="s">
        <v>831</v>
      </c>
      <c r="D53" s="25" t="s">
        <v>818</v>
      </c>
      <c r="E53" s="25">
        <v>27.5</v>
      </c>
      <c r="F53" s="25" t="s">
        <v>814</v>
      </c>
      <c r="G53" s="25" t="s">
        <v>431</v>
      </c>
      <c r="H53" s="25"/>
      <c r="I53" s="25"/>
      <c r="J53" s="25" t="s">
        <v>996</v>
      </c>
      <c r="K53" s="25"/>
    </row>
    <row r="54" s="33" customFormat="1" ht="13" customHeight="1" spans="1:11">
      <c r="A54" s="22">
        <v>46156</v>
      </c>
      <c r="B54" s="25" t="s">
        <v>825</v>
      </c>
      <c r="C54" s="25" t="s">
        <v>854</v>
      </c>
      <c r="D54" s="25" t="s">
        <v>827</v>
      </c>
      <c r="E54" s="25">
        <v>27.5</v>
      </c>
      <c r="F54" s="25" t="s">
        <v>814</v>
      </c>
      <c r="G54" s="25" t="s">
        <v>431</v>
      </c>
      <c r="H54" s="25"/>
      <c r="I54" s="25"/>
      <c r="J54" s="25" t="s">
        <v>997</v>
      </c>
      <c r="K54" s="25"/>
    </row>
    <row r="55" s="33" customFormat="1" ht="13" customHeight="1" spans="1:11">
      <c r="A55" s="22">
        <v>46156</v>
      </c>
      <c r="B55" s="25" t="s">
        <v>825</v>
      </c>
      <c r="C55" s="25" t="s">
        <v>854</v>
      </c>
      <c r="D55" s="25" t="s">
        <v>827</v>
      </c>
      <c r="E55" s="25">
        <v>27.5</v>
      </c>
      <c r="F55" s="25" t="s">
        <v>814</v>
      </c>
      <c r="G55" s="25" t="s">
        <v>431</v>
      </c>
      <c r="H55" s="25"/>
      <c r="I55" s="25"/>
      <c r="J55" s="25" t="s">
        <v>998</v>
      </c>
      <c r="K55" s="25"/>
    </row>
    <row r="56" s="33" customFormat="1" ht="13" customHeight="1" spans="1:11">
      <c r="A56" s="22">
        <v>46157</v>
      </c>
      <c r="B56" s="25" t="s">
        <v>927</v>
      </c>
      <c r="C56" s="25" t="s">
        <v>832</v>
      </c>
      <c r="D56" s="25" t="s">
        <v>823</v>
      </c>
      <c r="E56" s="25">
        <v>27.5</v>
      </c>
      <c r="F56" s="25" t="s">
        <v>814</v>
      </c>
      <c r="G56" s="25" t="s">
        <v>431</v>
      </c>
      <c r="H56" s="25"/>
      <c r="I56" s="25"/>
      <c r="J56" s="25" t="s">
        <v>995</v>
      </c>
      <c r="K56" s="25"/>
    </row>
    <row r="57" s="33" customFormat="1" ht="13" customHeight="1" spans="1:11">
      <c r="A57" s="22">
        <v>46157</v>
      </c>
      <c r="B57" s="25" t="s">
        <v>927</v>
      </c>
      <c r="C57" s="25" t="s">
        <v>832</v>
      </c>
      <c r="D57" s="25" t="s">
        <v>823</v>
      </c>
      <c r="E57" s="25">
        <v>27.5</v>
      </c>
      <c r="F57" s="25" t="s">
        <v>814</v>
      </c>
      <c r="G57" s="25" t="s">
        <v>431</v>
      </c>
      <c r="H57" s="25"/>
      <c r="I57" s="25"/>
      <c r="J57" s="25" t="s">
        <v>988</v>
      </c>
      <c r="K57" s="25"/>
    </row>
    <row r="58" s="33" customFormat="1" ht="13" customHeight="1" spans="1:11">
      <c r="A58" s="22">
        <v>46157</v>
      </c>
      <c r="B58" s="25" t="s">
        <v>927</v>
      </c>
      <c r="C58" s="25" t="s">
        <v>863</v>
      </c>
      <c r="D58" s="25" t="s">
        <v>823</v>
      </c>
      <c r="E58" s="25">
        <v>27.5</v>
      </c>
      <c r="F58" s="25" t="s">
        <v>814</v>
      </c>
      <c r="G58" s="25" t="s">
        <v>431</v>
      </c>
      <c r="H58" s="25"/>
      <c r="I58" s="25"/>
      <c r="J58" s="25" t="s">
        <v>999</v>
      </c>
      <c r="K58" s="25"/>
    </row>
    <row r="59" s="33" customFormat="1" ht="13" customHeight="1" spans="1:11">
      <c r="A59" s="22">
        <v>46158</v>
      </c>
      <c r="B59" s="25" t="s">
        <v>927</v>
      </c>
      <c r="C59" s="25" t="s">
        <v>863</v>
      </c>
      <c r="D59" s="25" t="s">
        <v>823</v>
      </c>
      <c r="E59" s="25">
        <v>27.5</v>
      </c>
      <c r="F59" s="25" t="s">
        <v>814</v>
      </c>
      <c r="G59" s="25" t="s">
        <v>431</v>
      </c>
      <c r="H59" s="25"/>
      <c r="I59" s="25"/>
      <c r="J59" s="25" t="s">
        <v>1000</v>
      </c>
      <c r="K59" s="25"/>
    </row>
    <row r="60" s="33" customFormat="1" ht="13" customHeight="1" spans="1:11">
      <c r="A60" s="22">
        <v>46161</v>
      </c>
      <c r="B60" s="25" t="s">
        <v>1001</v>
      </c>
      <c r="C60" s="25" t="s">
        <v>828</v>
      </c>
      <c r="D60" s="25" t="s">
        <v>812</v>
      </c>
      <c r="E60" s="25">
        <v>27.5</v>
      </c>
      <c r="F60" s="25" t="s">
        <v>814</v>
      </c>
      <c r="G60" s="25" t="s">
        <v>431</v>
      </c>
      <c r="H60" s="25"/>
      <c r="I60" s="25"/>
      <c r="J60" s="25" t="s">
        <v>1002</v>
      </c>
      <c r="K60" s="25"/>
    </row>
    <row r="61" s="33" customFormat="1" ht="13" customHeight="1" spans="1:11">
      <c r="A61" s="22">
        <v>46161</v>
      </c>
      <c r="B61" s="25" t="s">
        <v>1001</v>
      </c>
      <c r="C61" s="25" t="s">
        <v>828</v>
      </c>
      <c r="D61" s="25" t="s">
        <v>812</v>
      </c>
      <c r="E61" s="25">
        <v>27.5</v>
      </c>
      <c r="F61" s="25" t="s">
        <v>814</v>
      </c>
      <c r="G61" s="25" t="s">
        <v>431</v>
      </c>
      <c r="H61" s="25"/>
      <c r="I61" s="25"/>
      <c r="J61" s="25" t="s">
        <v>1003</v>
      </c>
      <c r="K61" s="25"/>
    </row>
    <row r="62" s="33" customFormat="1" ht="13" customHeight="1" spans="1:11">
      <c r="A62" s="22">
        <v>46161</v>
      </c>
      <c r="B62" s="25" t="s">
        <v>1001</v>
      </c>
      <c r="C62" s="25" t="s">
        <v>828</v>
      </c>
      <c r="D62" s="25" t="s">
        <v>812</v>
      </c>
      <c r="E62" s="25">
        <v>27.5</v>
      </c>
      <c r="F62" s="25" t="s">
        <v>814</v>
      </c>
      <c r="G62" s="25" t="s">
        <v>431</v>
      </c>
      <c r="H62" s="25"/>
      <c r="I62" s="25"/>
      <c r="J62" s="25" t="s">
        <v>1004</v>
      </c>
      <c r="K62" s="25"/>
    </row>
    <row r="63" s="33" customFormat="1" ht="13" customHeight="1" spans="1:11">
      <c r="A63" s="22">
        <v>46161</v>
      </c>
      <c r="B63" s="25" t="s">
        <v>871</v>
      </c>
      <c r="C63" s="25" t="s">
        <v>872</v>
      </c>
      <c r="D63" s="25" t="s">
        <v>818</v>
      </c>
      <c r="E63" s="25">
        <v>13.5</v>
      </c>
      <c r="F63" s="25" t="s">
        <v>814</v>
      </c>
      <c r="G63" s="25" t="s">
        <v>431</v>
      </c>
      <c r="H63" s="25"/>
      <c r="I63" s="25"/>
      <c r="J63" s="124" t="s">
        <v>1005</v>
      </c>
      <c r="K63" s="25"/>
    </row>
    <row r="64" s="33" customFormat="1" ht="13" customHeight="1" spans="1:11">
      <c r="A64" s="22">
        <v>46161</v>
      </c>
      <c r="B64" s="25" t="s">
        <v>871</v>
      </c>
      <c r="C64" s="25" t="s">
        <v>872</v>
      </c>
      <c r="D64" s="25" t="s">
        <v>812</v>
      </c>
      <c r="E64" s="25">
        <v>14</v>
      </c>
      <c r="F64" s="25" t="s">
        <v>814</v>
      </c>
      <c r="G64" s="25" t="s">
        <v>431</v>
      </c>
      <c r="H64" s="25"/>
      <c r="I64" s="25"/>
      <c r="J64" s="28"/>
      <c r="K64" s="25"/>
    </row>
    <row r="65" s="33" customFormat="1" ht="13" customHeight="1" spans="1:11">
      <c r="A65" s="22">
        <v>46162</v>
      </c>
      <c r="B65" s="25" t="s">
        <v>830</v>
      </c>
      <c r="C65" s="25" t="s">
        <v>865</v>
      </c>
      <c r="D65" s="25" t="s">
        <v>812</v>
      </c>
      <c r="E65" s="25">
        <v>27.5</v>
      </c>
      <c r="F65" s="25" t="s">
        <v>814</v>
      </c>
      <c r="G65" s="25" t="s">
        <v>431</v>
      </c>
      <c r="H65" s="25"/>
      <c r="I65" s="25"/>
      <c r="J65" s="28" t="s">
        <v>987</v>
      </c>
      <c r="K65" s="25"/>
    </row>
    <row r="66" s="33" customFormat="1" ht="13" customHeight="1" spans="1:11">
      <c r="A66" s="22">
        <v>46162</v>
      </c>
      <c r="B66" s="25" t="s">
        <v>830</v>
      </c>
      <c r="C66" s="25" t="s">
        <v>865</v>
      </c>
      <c r="D66" s="25" t="s">
        <v>818</v>
      </c>
      <c r="E66" s="25">
        <v>27.5</v>
      </c>
      <c r="F66" s="25" t="s">
        <v>814</v>
      </c>
      <c r="G66" s="25" t="s">
        <v>431</v>
      </c>
      <c r="H66" s="25"/>
      <c r="I66" s="25"/>
      <c r="J66" s="28" t="s">
        <v>1003</v>
      </c>
      <c r="K66" s="25"/>
    </row>
    <row r="67" s="33" customFormat="1" ht="13" customHeight="1" spans="1:11">
      <c r="A67" s="22">
        <v>46162</v>
      </c>
      <c r="B67" s="25" t="s">
        <v>858</v>
      </c>
      <c r="C67" s="25" t="s">
        <v>859</v>
      </c>
      <c r="D67" s="25" t="s">
        <v>812</v>
      </c>
      <c r="E67" s="25">
        <v>27.5</v>
      </c>
      <c r="F67" s="25" t="s">
        <v>814</v>
      </c>
      <c r="G67" s="25" t="s">
        <v>431</v>
      </c>
      <c r="H67" s="25"/>
      <c r="I67" s="25"/>
      <c r="J67" s="28" t="s">
        <v>1006</v>
      </c>
      <c r="K67" s="25"/>
    </row>
    <row r="68" s="33" customFormat="1" ht="13" customHeight="1" spans="1:11">
      <c r="A68" s="22">
        <v>46162</v>
      </c>
      <c r="B68" s="25" t="s">
        <v>858</v>
      </c>
      <c r="C68" s="25" t="s">
        <v>859</v>
      </c>
      <c r="D68" s="25" t="s">
        <v>812</v>
      </c>
      <c r="E68" s="25">
        <v>27.5</v>
      </c>
      <c r="F68" s="25" t="s">
        <v>814</v>
      </c>
      <c r="G68" s="25" t="s">
        <v>431</v>
      </c>
      <c r="H68" s="25"/>
      <c r="I68" s="25"/>
      <c r="J68" s="28" t="s">
        <v>1007</v>
      </c>
      <c r="K68" s="25"/>
    </row>
    <row r="69" s="33" customFormat="1" ht="13" customHeight="1" spans="1:11">
      <c r="A69" s="22">
        <v>46164</v>
      </c>
      <c r="B69" s="25" t="s">
        <v>860</v>
      </c>
      <c r="C69" s="25" t="s">
        <v>870</v>
      </c>
      <c r="D69" s="25" t="s">
        <v>818</v>
      </c>
      <c r="E69" s="25">
        <v>27.5</v>
      </c>
      <c r="F69" s="25" t="s">
        <v>814</v>
      </c>
      <c r="G69" s="25" t="s">
        <v>431</v>
      </c>
      <c r="H69" s="25"/>
      <c r="I69" s="25"/>
      <c r="J69" s="28" t="s">
        <v>996</v>
      </c>
      <c r="K69" s="25"/>
    </row>
    <row r="70" s="33" customFormat="1" ht="13" customHeight="1" spans="1:11">
      <c r="A70" s="22">
        <v>46164</v>
      </c>
      <c r="B70" s="25" t="s">
        <v>860</v>
      </c>
      <c r="C70" s="25" t="s">
        <v>870</v>
      </c>
      <c r="D70" s="25" t="s">
        <v>812</v>
      </c>
      <c r="E70" s="25">
        <v>27.5</v>
      </c>
      <c r="F70" s="25" t="s">
        <v>814</v>
      </c>
      <c r="G70" s="25" t="s">
        <v>431</v>
      </c>
      <c r="H70" s="25"/>
      <c r="I70" s="25"/>
      <c r="J70" s="28" t="s">
        <v>1003</v>
      </c>
      <c r="K70" s="25"/>
    </row>
    <row r="71" s="33" customFormat="1" ht="13" customHeight="1" spans="1:11">
      <c r="A71" s="22">
        <v>46166</v>
      </c>
      <c r="B71" s="25" t="s">
        <v>866</v>
      </c>
      <c r="C71" s="25" t="s">
        <v>867</v>
      </c>
      <c r="D71" s="25" t="s">
        <v>818</v>
      </c>
      <c r="E71" s="25">
        <v>27</v>
      </c>
      <c r="F71" s="25" t="s">
        <v>845</v>
      </c>
      <c r="G71" s="25" t="s">
        <v>431</v>
      </c>
      <c r="H71" s="25"/>
      <c r="I71" s="25"/>
      <c r="J71" s="28" t="s">
        <v>1008</v>
      </c>
      <c r="K71" s="25"/>
    </row>
    <row r="72" s="33" customFormat="1" ht="13" customHeight="1" spans="1:11">
      <c r="A72" s="22">
        <v>46167</v>
      </c>
      <c r="B72" s="25" t="s">
        <v>847</v>
      </c>
      <c r="C72" s="25" t="s">
        <v>862</v>
      </c>
      <c r="D72" s="25" t="s">
        <v>818</v>
      </c>
      <c r="E72" s="25">
        <v>27</v>
      </c>
      <c r="F72" s="25" t="s">
        <v>814</v>
      </c>
      <c r="G72" s="25" t="s">
        <v>431</v>
      </c>
      <c r="H72" s="25"/>
      <c r="I72" s="25"/>
      <c r="J72" s="28" t="s">
        <v>1009</v>
      </c>
      <c r="K72" s="25"/>
    </row>
    <row r="73" s="33" customFormat="1" ht="13" customHeight="1" spans="1:11">
      <c r="A73" s="22">
        <v>46167</v>
      </c>
      <c r="B73" s="25" t="s">
        <v>847</v>
      </c>
      <c r="C73" s="25" t="s">
        <v>862</v>
      </c>
      <c r="D73" s="25" t="s">
        <v>818</v>
      </c>
      <c r="E73" s="25">
        <v>27</v>
      </c>
      <c r="F73" s="25" t="s">
        <v>814</v>
      </c>
      <c r="G73" s="25" t="s">
        <v>431</v>
      </c>
      <c r="H73" s="25"/>
      <c r="I73" s="25"/>
      <c r="J73" s="28" t="s">
        <v>1010</v>
      </c>
      <c r="K73" s="25"/>
    </row>
    <row r="74" s="33" customFormat="1" ht="13" customHeight="1" spans="1:11">
      <c r="A74" s="22">
        <v>46184</v>
      </c>
      <c r="B74" s="23" t="s">
        <v>821</v>
      </c>
      <c r="C74" s="25" t="s">
        <v>873</v>
      </c>
      <c r="D74" s="24" t="s">
        <v>823</v>
      </c>
      <c r="E74" s="25">
        <v>27.5</v>
      </c>
      <c r="F74" s="24" t="s">
        <v>814</v>
      </c>
      <c r="G74" s="25" t="s">
        <v>431</v>
      </c>
      <c r="H74" s="25"/>
      <c r="I74" s="25"/>
      <c r="J74" s="28" t="s">
        <v>1011</v>
      </c>
      <c r="K74" s="25"/>
    </row>
    <row r="75" s="33" customFormat="1" ht="13" customHeight="1" spans="1:11">
      <c r="A75" s="22">
        <v>46184</v>
      </c>
      <c r="B75" s="23" t="s">
        <v>821</v>
      </c>
      <c r="C75" s="25" t="s">
        <v>873</v>
      </c>
      <c r="D75" s="24" t="s">
        <v>823</v>
      </c>
      <c r="E75" s="25">
        <v>27.5</v>
      </c>
      <c r="F75" s="24" t="s">
        <v>814</v>
      </c>
      <c r="G75" s="25" t="s">
        <v>431</v>
      </c>
      <c r="H75" s="25"/>
      <c r="I75" s="25"/>
      <c r="J75" s="28" t="s">
        <v>1012</v>
      </c>
      <c r="K75" s="25"/>
    </row>
    <row r="76" s="33" customFormat="1" ht="13" customHeight="1" spans="1:11">
      <c r="A76" s="22">
        <v>46185</v>
      </c>
      <c r="B76" s="23" t="s">
        <v>821</v>
      </c>
      <c r="C76" s="25" t="s">
        <v>873</v>
      </c>
      <c r="D76" s="24" t="s">
        <v>823</v>
      </c>
      <c r="E76" s="25">
        <v>27.5</v>
      </c>
      <c r="F76" s="24" t="s">
        <v>814</v>
      </c>
      <c r="G76" s="25" t="s">
        <v>431</v>
      </c>
      <c r="H76" s="25"/>
      <c r="I76" s="25"/>
      <c r="J76" s="28" t="s">
        <v>1013</v>
      </c>
      <c r="K76" s="25"/>
    </row>
    <row r="77" s="33" customFormat="1" ht="13" customHeight="1" spans="1:11">
      <c r="A77" s="22">
        <v>46185</v>
      </c>
      <c r="B77" s="23" t="s">
        <v>821</v>
      </c>
      <c r="C77" s="25" t="s">
        <v>873</v>
      </c>
      <c r="D77" s="24" t="s">
        <v>823</v>
      </c>
      <c r="E77" s="25">
        <v>27.5</v>
      </c>
      <c r="F77" s="24" t="s">
        <v>814</v>
      </c>
      <c r="G77" s="25" t="s">
        <v>431</v>
      </c>
      <c r="H77" s="25"/>
      <c r="I77" s="25"/>
      <c r="J77" s="28" t="s">
        <v>1014</v>
      </c>
      <c r="K77" s="25"/>
    </row>
    <row r="78" s="33" customFormat="1" ht="13" customHeight="1" spans="1:11">
      <c r="A78" s="22">
        <v>46217</v>
      </c>
      <c r="B78" s="23" t="s">
        <v>836</v>
      </c>
      <c r="C78" s="24" t="s">
        <v>876</v>
      </c>
      <c r="D78" s="24" t="s">
        <v>827</v>
      </c>
      <c r="E78" s="25">
        <v>1</v>
      </c>
      <c r="F78" s="24" t="s">
        <v>626</v>
      </c>
      <c r="G78" s="25" t="s">
        <v>431</v>
      </c>
      <c r="H78" s="25"/>
      <c r="I78" s="25"/>
      <c r="J78" s="28" t="s">
        <v>1015</v>
      </c>
      <c r="K78" s="126" t="s">
        <v>1016</v>
      </c>
    </row>
    <row r="79" s="33" customFormat="1" ht="13" customHeight="1" spans="1:10">
      <c r="A79" s="22">
        <v>46224</v>
      </c>
      <c r="B79" s="23" t="s">
        <v>874</v>
      </c>
      <c r="C79" s="25" t="s">
        <v>875</v>
      </c>
      <c r="D79" s="24" t="s">
        <v>827</v>
      </c>
      <c r="E79" s="25">
        <v>27.5</v>
      </c>
      <c r="F79" s="24" t="s">
        <v>814</v>
      </c>
      <c r="G79" s="25" t="s">
        <v>431</v>
      </c>
      <c r="H79" s="25"/>
      <c r="I79" s="25"/>
      <c r="J79" s="28" t="s">
        <v>1017</v>
      </c>
    </row>
    <row r="80" s="33" customFormat="1" ht="13" customHeight="1" spans="1:11">
      <c r="A80" s="22">
        <v>46224</v>
      </c>
      <c r="B80" s="23" t="s">
        <v>874</v>
      </c>
      <c r="C80" s="25" t="s">
        <v>875</v>
      </c>
      <c r="D80" s="24" t="s">
        <v>827</v>
      </c>
      <c r="E80" s="25">
        <v>27.5</v>
      </c>
      <c r="F80" s="24" t="s">
        <v>814</v>
      </c>
      <c r="G80" s="25" t="s">
        <v>431</v>
      </c>
      <c r="H80" s="25"/>
      <c r="I80" s="25"/>
      <c r="J80" s="28" t="s">
        <v>1018</v>
      </c>
      <c r="K80" s="25"/>
    </row>
    <row r="81" s="33" customFormat="1" ht="13" customHeight="1" spans="1:11">
      <c r="A81" s="22">
        <v>46224</v>
      </c>
      <c r="B81" s="23" t="s">
        <v>874</v>
      </c>
      <c r="C81" s="25" t="s">
        <v>875</v>
      </c>
      <c r="D81" s="24" t="s">
        <v>812</v>
      </c>
      <c r="E81" s="25">
        <v>27.5</v>
      </c>
      <c r="F81" s="24" t="s">
        <v>814</v>
      </c>
      <c r="G81" s="25" t="s">
        <v>431</v>
      </c>
      <c r="H81" s="25"/>
      <c r="I81" s="25"/>
      <c r="J81" s="28" t="s">
        <v>1019</v>
      </c>
      <c r="K81" s="25"/>
    </row>
    <row r="82" s="33" customFormat="1" ht="13" customHeight="1" spans="1:11">
      <c r="A82" s="22">
        <v>46232</v>
      </c>
      <c r="B82" s="23" t="s">
        <v>871</v>
      </c>
      <c r="C82" s="25" t="s">
        <v>1020</v>
      </c>
      <c r="D82" s="24" t="s">
        <v>818</v>
      </c>
      <c r="E82" s="25">
        <v>27.5</v>
      </c>
      <c r="F82" s="24" t="s">
        <v>814</v>
      </c>
      <c r="G82" s="25" t="s">
        <v>431</v>
      </c>
      <c r="H82" s="25"/>
      <c r="I82" s="25"/>
      <c r="J82" s="28" t="s">
        <v>1021</v>
      </c>
      <c r="K82" s="25" t="s">
        <v>466</v>
      </c>
    </row>
    <row r="83" s="33" customFormat="1" ht="13" customHeight="1" spans="1:11">
      <c r="A83" s="22">
        <v>46232</v>
      </c>
      <c r="B83" s="23" t="s">
        <v>864</v>
      </c>
      <c r="C83" s="25" t="s">
        <v>882</v>
      </c>
      <c r="D83" s="24" t="s">
        <v>818</v>
      </c>
      <c r="E83" s="25">
        <v>27.5</v>
      </c>
      <c r="F83" s="24" t="s">
        <v>814</v>
      </c>
      <c r="G83" s="25" t="s">
        <v>431</v>
      </c>
      <c r="H83" s="25"/>
      <c r="I83" s="25"/>
      <c r="J83" s="28" t="s">
        <v>1022</v>
      </c>
      <c r="K83" s="25" t="s">
        <v>466</v>
      </c>
    </row>
    <row r="84" s="33" customFormat="1" ht="13" customHeight="1" spans="1:11">
      <c r="A84" s="22">
        <v>46232</v>
      </c>
      <c r="B84" s="23" t="s">
        <v>864</v>
      </c>
      <c r="C84" s="25" t="s">
        <v>882</v>
      </c>
      <c r="D84" s="24" t="s">
        <v>818</v>
      </c>
      <c r="E84" s="25">
        <v>27.5</v>
      </c>
      <c r="F84" s="24" t="s">
        <v>814</v>
      </c>
      <c r="G84" s="25" t="s">
        <v>431</v>
      </c>
      <c r="H84" s="25"/>
      <c r="I84" s="25"/>
      <c r="J84" s="28" t="s">
        <v>1023</v>
      </c>
      <c r="K84" s="25" t="s">
        <v>466</v>
      </c>
    </row>
    <row r="85" s="33" customFormat="1" ht="13" customHeight="1" spans="1:11">
      <c r="A85" s="22">
        <v>46235</v>
      </c>
      <c r="B85" s="23" t="s">
        <v>839</v>
      </c>
      <c r="C85" s="25" t="s">
        <v>878</v>
      </c>
      <c r="D85" s="24" t="s">
        <v>806</v>
      </c>
      <c r="E85" s="25">
        <v>23.4</v>
      </c>
      <c r="F85" s="24" t="s">
        <v>952</v>
      </c>
      <c r="G85" s="25" t="s">
        <v>431</v>
      </c>
      <c r="H85" s="25"/>
      <c r="I85" s="25"/>
      <c r="J85" s="28" t="s">
        <v>1024</v>
      </c>
      <c r="K85" s="25"/>
    </row>
    <row r="86" s="33" customFormat="1" ht="13" customHeight="1" spans="1:11">
      <c r="A86" s="22">
        <v>46235</v>
      </c>
      <c r="B86" s="23" t="s">
        <v>839</v>
      </c>
      <c r="C86" s="25" t="s">
        <v>878</v>
      </c>
      <c r="D86" s="24" t="s">
        <v>806</v>
      </c>
      <c r="E86" s="25">
        <v>23.4</v>
      </c>
      <c r="F86" s="24" t="s">
        <v>952</v>
      </c>
      <c r="G86" s="25" t="s">
        <v>431</v>
      </c>
      <c r="H86" s="25"/>
      <c r="I86" s="25"/>
      <c r="J86" s="28" t="s">
        <v>1025</v>
      </c>
      <c r="K86" s="25"/>
    </row>
    <row r="87" s="33" customFormat="1" ht="13" customHeight="1" spans="1:11">
      <c r="A87" s="22">
        <v>46235</v>
      </c>
      <c r="B87" s="23" t="s">
        <v>839</v>
      </c>
      <c r="C87" s="25" t="s">
        <v>878</v>
      </c>
      <c r="D87" s="24" t="s">
        <v>806</v>
      </c>
      <c r="E87" s="25">
        <v>23.4</v>
      </c>
      <c r="F87" s="24" t="s">
        <v>952</v>
      </c>
      <c r="G87" s="25" t="s">
        <v>431</v>
      </c>
      <c r="H87" s="25"/>
      <c r="I87" s="25"/>
      <c r="J87" s="28" t="s">
        <v>1026</v>
      </c>
      <c r="K87" s="25"/>
    </row>
    <row r="88" s="33" customFormat="1" ht="13" customHeight="1" spans="1:11">
      <c r="A88" s="22">
        <v>46235</v>
      </c>
      <c r="B88" s="23" t="s">
        <v>839</v>
      </c>
      <c r="C88" s="25" t="s">
        <v>878</v>
      </c>
      <c r="D88" s="24" t="s">
        <v>806</v>
      </c>
      <c r="E88" s="25">
        <v>23.4</v>
      </c>
      <c r="F88" s="24" t="s">
        <v>952</v>
      </c>
      <c r="G88" s="25" t="s">
        <v>431</v>
      </c>
      <c r="H88" s="25"/>
      <c r="I88" s="25"/>
      <c r="J88" s="28" t="s">
        <v>1027</v>
      </c>
      <c r="K88" s="25"/>
    </row>
    <row r="89" s="33" customFormat="1" ht="13" customHeight="1" spans="1:11">
      <c r="A89" s="22">
        <v>46246</v>
      </c>
      <c r="B89" s="23" t="s">
        <v>871</v>
      </c>
      <c r="C89" s="25" t="s">
        <v>1028</v>
      </c>
      <c r="D89" s="24" t="s">
        <v>812</v>
      </c>
      <c r="E89" s="25">
        <v>27.5</v>
      </c>
      <c r="F89" s="24" t="s">
        <v>814</v>
      </c>
      <c r="G89" s="25" t="s">
        <v>431</v>
      </c>
      <c r="H89" s="25"/>
      <c r="I89" s="25"/>
      <c r="J89" s="28" t="s">
        <v>996</v>
      </c>
      <c r="K89" s="25" t="s">
        <v>466</v>
      </c>
    </row>
    <row r="90" s="33" customFormat="1" ht="13" customHeight="1" spans="1:11">
      <c r="A90" s="22">
        <v>46247</v>
      </c>
      <c r="B90" s="23" t="s">
        <v>821</v>
      </c>
      <c r="C90" s="25" t="s">
        <v>883</v>
      </c>
      <c r="D90" s="24" t="s">
        <v>823</v>
      </c>
      <c r="E90" s="25">
        <v>27.5</v>
      </c>
      <c r="F90" s="24" t="s">
        <v>814</v>
      </c>
      <c r="G90" s="25" t="s">
        <v>431</v>
      </c>
      <c r="H90" s="25"/>
      <c r="I90" s="25"/>
      <c r="J90" s="28" t="s">
        <v>1029</v>
      </c>
      <c r="K90" s="25" t="s">
        <v>466</v>
      </c>
    </row>
    <row r="91" s="33" customFormat="1" ht="12" customHeight="1" spans="1:11">
      <c r="A91" s="22">
        <v>46248</v>
      </c>
      <c r="B91" s="23" t="s">
        <v>860</v>
      </c>
      <c r="C91" s="25" t="s">
        <v>879</v>
      </c>
      <c r="D91" s="24" t="s">
        <v>827</v>
      </c>
      <c r="E91" s="25">
        <v>27.5</v>
      </c>
      <c r="F91" s="24" t="s">
        <v>814</v>
      </c>
      <c r="G91" s="25" t="s">
        <v>431</v>
      </c>
      <c r="H91" s="25"/>
      <c r="I91" s="25"/>
      <c r="J91" s="28" t="s">
        <v>1030</v>
      </c>
      <c r="K91" s="25" t="s">
        <v>466</v>
      </c>
    </row>
    <row r="92" s="33" customFormat="1" ht="13" customHeight="1" spans="1:11">
      <c r="A92" s="22">
        <v>46248</v>
      </c>
      <c r="B92" s="23" t="s">
        <v>821</v>
      </c>
      <c r="C92" s="25" t="s">
        <v>883</v>
      </c>
      <c r="D92" s="24" t="s">
        <v>823</v>
      </c>
      <c r="E92" s="25">
        <v>27.5</v>
      </c>
      <c r="F92" s="24" t="s">
        <v>814</v>
      </c>
      <c r="G92" s="25" t="s">
        <v>431</v>
      </c>
      <c r="H92" s="25"/>
      <c r="I92" s="25"/>
      <c r="J92" s="28" t="s">
        <v>988</v>
      </c>
      <c r="K92" s="25" t="s">
        <v>466</v>
      </c>
    </row>
    <row r="93" s="33" customFormat="1" ht="13" customHeight="1" spans="1:11">
      <c r="A93" s="22">
        <v>46251</v>
      </c>
      <c r="B93" s="23" t="s">
        <v>833</v>
      </c>
      <c r="C93" s="25" t="s">
        <v>880</v>
      </c>
      <c r="D93" s="24" t="s">
        <v>812</v>
      </c>
      <c r="E93" s="25">
        <v>27.5</v>
      </c>
      <c r="F93" s="24" t="s">
        <v>814</v>
      </c>
      <c r="G93" s="25" t="s">
        <v>431</v>
      </c>
      <c r="H93" s="25"/>
      <c r="I93" s="25"/>
      <c r="J93" s="28" t="s">
        <v>1031</v>
      </c>
      <c r="K93" s="25" t="s">
        <v>1032</v>
      </c>
    </row>
    <row r="94" s="33" customFormat="1" ht="13" customHeight="1" spans="1:11">
      <c r="A94" s="22">
        <v>46252</v>
      </c>
      <c r="B94" s="23" t="s">
        <v>833</v>
      </c>
      <c r="C94" s="25" t="s">
        <v>880</v>
      </c>
      <c r="D94" s="24" t="s">
        <v>818</v>
      </c>
      <c r="E94" s="25">
        <v>27.5</v>
      </c>
      <c r="F94" s="24" t="s">
        <v>814</v>
      </c>
      <c r="G94" s="25" t="s">
        <v>431</v>
      </c>
      <c r="H94" s="25"/>
      <c r="I94" s="25"/>
      <c r="J94" s="28" t="s">
        <v>1033</v>
      </c>
      <c r="K94" s="25" t="s">
        <v>1032</v>
      </c>
    </row>
    <row r="95" s="33" customFormat="1" ht="13" customHeight="1" spans="1:11">
      <c r="A95" s="22">
        <v>46256</v>
      </c>
      <c r="B95" s="23" t="s">
        <v>833</v>
      </c>
      <c r="C95" s="25" t="s">
        <v>885</v>
      </c>
      <c r="D95" s="24" t="s">
        <v>812</v>
      </c>
      <c r="E95" s="25">
        <v>27.5</v>
      </c>
      <c r="F95" s="24" t="s">
        <v>814</v>
      </c>
      <c r="G95" s="25" t="s">
        <v>431</v>
      </c>
      <c r="H95" s="25"/>
      <c r="I95" s="25"/>
      <c r="J95" s="28" t="s">
        <v>1034</v>
      </c>
      <c r="K95" s="25" t="s">
        <v>1035</v>
      </c>
    </row>
    <row r="96" s="33" customFormat="1" ht="13" customHeight="1" spans="1:11">
      <c r="A96" s="22">
        <v>46256</v>
      </c>
      <c r="B96" s="23" t="s">
        <v>833</v>
      </c>
      <c r="C96" s="25" t="s">
        <v>885</v>
      </c>
      <c r="D96" s="24" t="s">
        <v>818</v>
      </c>
      <c r="E96" s="25">
        <v>27.5</v>
      </c>
      <c r="F96" s="24" t="s">
        <v>814</v>
      </c>
      <c r="G96" s="25" t="s">
        <v>431</v>
      </c>
      <c r="H96" s="25"/>
      <c r="I96" s="25"/>
      <c r="J96" s="28" t="s">
        <v>1036</v>
      </c>
      <c r="K96" s="25" t="s">
        <v>1035</v>
      </c>
    </row>
    <row r="97" s="33" customFormat="1" ht="13" customHeight="1" spans="1:11">
      <c r="A97" s="22">
        <v>46264</v>
      </c>
      <c r="B97" s="23" t="s">
        <v>874</v>
      </c>
      <c r="C97" s="25" t="s">
        <v>1037</v>
      </c>
      <c r="D97" s="24" t="s">
        <v>812</v>
      </c>
      <c r="E97" s="25">
        <v>27.5</v>
      </c>
      <c r="F97" s="24" t="s">
        <v>814</v>
      </c>
      <c r="G97" s="25" t="s">
        <v>431</v>
      </c>
      <c r="H97" s="25"/>
      <c r="I97" s="25"/>
      <c r="J97" s="28" t="s">
        <v>429</v>
      </c>
      <c r="K97" s="25" t="s">
        <v>1038</v>
      </c>
    </row>
    <row r="98" s="33" customFormat="1" ht="13" customHeight="1" spans="1:11">
      <c r="A98" s="22">
        <v>46267</v>
      </c>
      <c r="B98" s="23" t="s">
        <v>847</v>
      </c>
      <c r="C98" s="25" t="s">
        <v>889</v>
      </c>
      <c r="D98" s="24" t="s">
        <v>818</v>
      </c>
      <c r="E98" s="25">
        <v>27</v>
      </c>
      <c r="F98" s="24" t="s">
        <v>946</v>
      </c>
      <c r="G98" s="25" t="s">
        <v>431</v>
      </c>
      <c r="H98" s="25"/>
      <c r="I98" s="25"/>
      <c r="J98" s="28" t="s">
        <v>1039</v>
      </c>
      <c r="K98" s="25" t="s">
        <v>466</v>
      </c>
    </row>
    <row r="99" s="33" customFormat="1" ht="13" customHeight="1" spans="1:11">
      <c r="A99" s="22">
        <v>46267</v>
      </c>
      <c r="B99" s="23" t="s">
        <v>847</v>
      </c>
      <c r="C99" s="25" t="s">
        <v>889</v>
      </c>
      <c r="D99" s="24" t="s">
        <v>818</v>
      </c>
      <c r="E99" s="25">
        <v>27</v>
      </c>
      <c r="F99" s="24" t="s">
        <v>946</v>
      </c>
      <c r="G99" s="25" t="s">
        <v>431</v>
      </c>
      <c r="H99" s="25"/>
      <c r="I99" s="25"/>
      <c r="J99" s="28" t="s">
        <v>1040</v>
      </c>
      <c r="K99" s="25" t="s">
        <v>466</v>
      </c>
    </row>
    <row r="100" s="33" customFormat="1" ht="13" customHeight="1" spans="1:11">
      <c r="A100" s="22">
        <v>46275</v>
      </c>
      <c r="B100" s="23" t="s">
        <v>887</v>
      </c>
      <c r="C100" s="25" t="s">
        <v>888</v>
      </c>
      <c r="D100" s="24" t="s">
        <v>812</v>
      </c>
      <c r="E100" s="25">
        <v>27.5</v>
      </c>
      <c r="F100" s="24" t="s">
        <v>814</v>
      </c>
      <c r="G100" s="25" t="s">
        <v>431</v>
      </c>
      <c r="H100" s="25"/>
      <c r="I100" s="25"/>
      <c r="J100" s="28" t="s">
        <v>1041</v>
      </c>
      <c r="K100" s="25" t="s">
        <v>466</v>
      </c>
    </row>
    <row r="101" s="33" customFormat="1" ht="13" customHeight="1" spans="1:11">
      <c r="A101" s="22">
        <v>46277</v>
      </c>
      <c r="B101" s="23" t="s">
        <v>810</v>
      </c>
      <c r="C101" s="25" t="s">
        <v>884</v>
      </c>
      <c r="D101" s="24" t="s">
        <v>812</v>
      </c>
      <c r="E101" s="25">
        <v>27.5</v>
      </c>
      <c r="F101" s="24" t="s">
        <v>814</v>
      </c>
      <c r="G101" s="25" t="s">
        <v>431</v>
      </c>
      <c r="H101" s="25"/>
      <c r="I101" s="25"/>
      <c r="J101" s="28" t="s">
        <v>1002</v>
      </c>
      <c r="K101" s="25" t="s">
        <v>466</v>
      </c>
    </row>
    <row r="102" s="33" customFormat="1" ht="13" customHeight="1" spans="1:11">
      <c r="A102" s="22">
        <v>46277</v>
      </c>
      <c r="B102" s="23" t="s">
        <v>810</v>
      </c>
      <c r="C102" s="25" t="s">
        <v>884</v>
      </c>
      <c r="D102" s="24" t="s">
        <v>812</v>
      </c>
      <c r="E102" s="25">
        <v>27.5</v>
      </c>
      <c r="F102" s="24" t="s">
        <v>814</v>
      </c>
      <c r="G102" s="25" t="s">
        <v>431</v>
      </c>
      <c r="H102" s="25"/>
      <c r="I102" s="25"/>
      <c r="J102" s="28" t="s">
        <v>1042</v>
      </c>
      <c r="K102" s="25" t="s">
        <v>466</v>
      </c>
    </row>
    <row r="103" s="33" customFormat="1" ht="13" customHeight="1" spans="1:11">
      <c r="A103" s="22">
        <v>46281</v>
      </c>
      <c r="B103" s="23" t="s">
        <v>1043</v>
      </c>
      <c r="C103" s="25" t="s">
        <v>1044</v>
      </c>
      <c r="D103" s="24" t="s">
        <v>827</v>
      </c>
      <c r="E103" s="25">
        <v>27.5</v>
      </c>
      <c r="F103" s="24" t="s">
        <v>814</v>
      </c>
      <c r="G103" s="25" t="s">
        <v>431</v>
      </c>
      <c r="H103" s="25"/>
      <c r="I103" s="25"/>
      <c r="J103" s="28" t="s">
        <v>1045</v>
      </c>
      <c r="K103" s="25" t="s">
        <v>1032</v>
      </c>
    </row>
    <row r="104" s="33" customFormat="1" ht="13" customHeight="1" spans="1:11">
      <c r="A104" s="22">
        <v>46281</v>
      </c>
      <c r="B104" s="23" t="s">
        <v>1043</v>
      </c>
      <c r="C104" s="25" t="s">
        <v>1044</v>
      </c>
      <c r="D104" s="24" t="s">
        <v>827</v>
      </c>
      <c r="E104" s="25">
        <v>27.5</v>
      </c>
      <c r="F104" s="24" t="s">
        <v>814</v>
      </c>
      <c r="G104" s="25" t="s">
        <v>431</v>
      </c>
      <c r="H104" s="25"/>
      <c r="I104" s="25"/>
      <c r="J104" s="28" t="s">
        <v>1046</v>
      </c>
      <c r="K104" s="25" t="s">
        <v>1032</v>
      </c>
    </row>
    <row r="105" s="33" customFormat="1" ht="13" customHeight="1" spans="1:11">
      <c r="A105" s="22">
        <v>46283</v>
      </c>
      <c r="B105" s="23" t="s">
        <v>821</v>
      </c>
      <c r="C105" s="25" t="s">
        <v>1047</v>
      </c>
      <c r="D105" s="24" t="s">
        <v>823</v>
      </c>
      <c r="E105" s="25">
        <v>27.5</v>
      </c>
      <c r="F105" s="24" t="s">
        <v>814</v>
      </c>
      <c r="G105" s="25" t="s">
        <v>431</v>
      </c>
      <c r="H105" s="25"/>
      <c r="I105" s="25"/>
      <c r="J105" s="28" t="s">
        <v>1048</v>
      </c>
      <c r="K105" s="25" t="s">
        <v>1032</v>
      </c>
    </row>
    <row r="106" s="33" customFormat="1" ht="13" customHeight="1" spans="1:11">
      <c r="A106" s="22">
        <v>46283</v>
      </c>
      <c r="B106" s="23" t="s">
        <v>821</v>
      </c>
      <c r="C106" s="25" t="s">
        <v>1047</v>
      </c>
      <c r="D106" s="24" t="s">
        <v>823</v>
      </c>
      <c r="E106" s="25">
        <v>27.5</v>
      </c>
      <c r="F106" s="24" t="s">
        <v>814</v>
      </c>
      <c r="G106" s="25" t="s">
        <v>431</v>
      </c>
      <c r="H106" s="25"/>
      <c r="I106" s="25"/>
      <c r="J106" s="28" t="s">
        <v>1049</v>
      </c>
      <c r="K106" s="25" t="s">
        <v>1032</v>
      </c>
    </row>
    <row r="107" s="33" customFormat="1" ht="13" customHeight="1" spans="1:11">
      <c r="A107" s="22">
        <v>46284</v>
      </c>
      <c r="B107" s="23" t="s">
        <v>895</v>
      </c>
      <c r="C107" s="25" t="s">
        <v>896</v>
      </c>
      <c r="D107" s="24" t="s">
        <v>812</v>
      </c>
      <c r="E107" s="25">
        <v>27.5</v>
      </c>
      <c r="F107" s="24" t="s">
        <v>814</v>
      </c>
      <c r="G107" s="25" t="s">
        <v>431</v>
      </c>
      <c r="H107" s="25"/>
      <c r="I107" s="25"/>
      <c r="J107" s="28" t="s">
        <v>1050</v>
      </c>
      <c r="K107" s="25" t="s">
        <v>1051</v>
      </c>
    </row>
    <row r="108" s="123" customFormat="1" ht="13" customHeight="1" spans="1:11">
      <c r="A108" s="125">
        <v>46308</v>
      </c>
      <c r="B108" s="127" t="s">
        <v>836</v>
      </c>
      <c r="C108" s="126" t="s">
        <v>1052</v>
      </c>
      <c r="D108" s="56" t="s">
        <v>823</v>
      </c>
      <c r="E108" s="126">
        <v>24</v>
      </c>
      <c r="F108" s="56" t="s">
        <v>1053</v>
      </c>
      <c r="G108" s="126" t="s">
        <v>431</v>
      </c>
      <c r="H108" s="126"/>
      <c r="I108" s="126"/>
      <c r="J108" s="128" t="s">
        <v>1054</v>
      </c>
      <c r="K108" s="126" t="s">
        <v>949</v>
      </c>
    </row>
  </sheetData>
  <autoFilter xmlns:etc="http://www.wps.cn/officeDocument/2017/etCustomData" ref="D1:D108" etc:filterBottomFollowUsedRange="0">
    <extLst/>
  </autoFilter>
  <mergeCells count="4">
    <mergeCell ref="G7:G8"/>
    <mergeCell ref="J7:J8"/>
    <mergeCell ref="J63:J64"/>
    <mergeCell ref="K7:K8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4"/>
  <sheetViews>
    <sheetView workbookViewId="0">
      <pane xSplit="7" ySplit="1" topLeftCell="L86" activePane="bottomRight" state="frozen"/>
      <selection/>
      <selection pane="topRight"/>
      <selection pane="bottomLeft"/>
      <selection pane="bottomRight" activeCell="A104" sqref="$A104:$XFD104"/>
    </sheetView>
  </sheetViews>
  <sheetFormatPr defaultColWidth="9.02654867256637" defaultRowHeight="13.5"/>
  <cols>
    <col min="1" max="1" width="7.31858407079646" customWidth="1"/>
    <col min="2" max="2" width="9.53097345132743" style="4" customWidth="1"/>
    <col min="3" max="3" width="8.96460176991151" customWidth="1"/>
    <col min="4" max="4" width="28.8230088495575" customWidth="1"/>
    <col min="5" max="5" width="10.8849557522124" customWidth="1"/>
    <col min="6" max="6" width="14.0530973451327" customWidth="1"/>
    <col min="7" max="7" width="7.10619469026549" customWidth="1"/>
    <col min="8" max="8" width="11.7610619469027" customWidth="1"/>
    <col min="9" max="9" width="14.141592920354" customWidth="1"/>
    <col min="10" max="10" width="8.96460176991151" customWidth="1"/>
    <col min="11" max="11" width="7.10619469026549" customWidth="1"/>
    <col min="12" max="12" width="13.8141592920354" customWidth="1"/>
    <col min="13" max="14" width="13.8053097345133" customWidth="1"/>
    <col min="15" max="15" width="15.929203539823" customWidth="1"/>
    <col min="16" max="17" width="13.8053097345133" customWidth="1"/>
    <col min="18" max="18" width="8.96460176991151" customWidth="1"/>
    <col min="19" max="20" width="11.283185840708" customWidth="1"/>
    <col min="21" max="21" width="16.3982300884956" customWidth="1"/>
    <col min="22" max="22" width="18.5929203539823" customWidth="1"/>
    <col min="23" max="23" width="8.96460176991151" customWidth="1"/>
    <col min="24" max="24" width="18.6637168141593" style="4" customWidth="1"/>
    <col min="25" max="25" width="10.8849557522124" customWidth="1"/>
    <col min="26" max="26" width="8.96460176991151" customWidth="1"/>
    <col min="27" max="27" width="13.2035398230088" customWidth="1"/>
    <col min="28" max="28" width="10.8849557522124" customWidth="1"/>
    <col min="29" max="29" width="8.96460176991151" customWidth="1"/>
    <col min="30" max="30" width="7.10619469026549" customWidth="1"/>
    <col min="31" max="34" width="5.24778761061947" customWidth="1"/>
  </cols>
  <sheetData>
    <row r="1" s="60" customFormat="1" ht="18" customHeight="1" spans="1:34">
      <c r="A1" s="63" t="s">
        <v>0</v>
      </c>
      <c r="B1" s="63" t="s">
        <v>1</v>
      </c>
      <c r="C1" s="63" t="s">
        <v>3</v>
      </c>
      <c r="D1" s="64" t="s">
        <v>4</v>
      </c>
      <c r="E1" s="63" t="s">
        <v>5</v>
      </c>
      <c r="F1" s="63" t="s">
        <v>6</v>
      </c>
      <c r="G1" s="63" t="s">
        <v>7</v>
      </c>
      <c r="H1" s="65" t="s">
        <v>8</v>
      </c>
      <c r="I1" s="63" t="s">
        <v>9</v>
      </c>
      <c r="J1" s="74" t="s">
        <v>10</v>
      </c>
      <c r="K1" s="75" t="s">
        <v>11</v>
      </c>
      <c r="L1" s="74" t="s">
        <v>12</v>
      </c>
      <c r="M1" s="76" t="s">
        <v>13</v>
      </c>
      <c r="N1" s="76" t="s">
        <v>14</v>
      </c>
      <c r="O1" s="76" t="s">
        <v>1055</v>
      </c>
      <c r="P1" s="77" t="s">
        <v>138</v>
      </c>
      <c r="Q1" s="85" t="s">
        <v>1056</v>
      </c>
      <c r="R1" s="77" t="s">
        <v>140</v>
      </c>
      <c r="S1" s="85" t="s">
        <v>803</v>
      </c>
      <c r="T1" s="85" t="s">
        <v>16</v>
      </c>
      <c r="U1" s="85" t="s">
        <v>17</v>
      </c>
      <c r="V1" s="86" t="s">
        <v>18</v>
      </c>
      <c r="W1" s="86" t="s">
        <v>141</v>
      </c>
      <c r="X1" s="87" t="s">
        <v>142</v>
      </c>
      <c r="Y1" s="93" t="s">
        <v>143</v>
      </c>
      <c r="Z1" s="93" t="s">
        <v>144</v>
      </c>
      <c r="AA1" s="94" t="s">
        <v>145</v>
      </c>
      <c r="AB1" s="87" t="s">
        <v>146</v>
      </c>
      <c r="AC1" s="95" t="s">
        <v>147</v>
      </c>
      <c r="AD1" s="95" t="s">
        <v>20</v>
      </c>
      <c r="AE1" s="95" t="s">
        <v>21</v>
      </c>
      <c r="AF1" s="95" t="s">
        <v>22</v>
      </c>
      <c r="AG1" s="95" t="s">
        <v>23</v>
      </c>
      <c r="AH1" s="95" t="s">
        <v>24</v>
      </c>
    </row>
    <row r="2" s="61" customFormat="1" ht="11" customHeight="1" spans="1:34">
      <c r="A2" s="66" t="s">
        <v>25</v>
      </c>
      <c r="B2" s="66" t="s">
        <v>173</v>
      </c>
      <c r="C2" s="67" t="s">
        <v>1057</v>
      </c>
      <c r="D2" s="66" t="s">
        <v>1058</v>
      </c>
      <c r="E2" s="68">
        <v>46178</v>
      </c>
      <c r="F2" s="66" t="s">
        <v>1059</v>
      </c>
      <c r="G2" s="66">
        <v>110</v>
      </c>
      <c r="H2" s="69">
        <v>1510</v>
      </c>
      <c r="I2" s="69">
        <f>G2*H2</f>
        <v>166100</v>
      </c>
      <c r="J2" s="66">
        <v>0</v>
      </c>
      <c r="K2" s="66">
        <f>G2-J2</f>
        <v>110</v>
      </c>
      <c r="L2" s="69">
        <v>0</v>
      </c>
      <c r="M2" s="69">
        <f>I2-L2</f>
        <v>166100</v>
      </c>
      <c r="N2" s="69">
        <f t="shared" ref="N2:N7" si="0">H2*J2-L2</f>
        <v>0</v>
      </c>
      <c r="O2" s="73">
        <f t="shared" ref="O2:O7" si="1">N2*R2</f>
        <v>0</v>
      </c>
      <c r="P2" s="69">
        <v>5</v>
      </c>
      <c r="Q2" s="69">
        <f>P2*G2</f>
        <v>550</v>
      </c>
      <c r="R2" s="66">
        <v>6.8177</v>
      </c>
      <c r="S2" s="78">
        <v>11047</v>
      </c>
      <c r="T2" s="78">
        <v>11000</v>
      </c>
      <c r="U2" s="78">
        <f>S2*G2</f>
        <v>1215170</v>
      </c>
      <c r="V2" s="66" t="s">
        <v>1060</v>
      </c>
      <c r="W2" s="66" t="s">
        <v>155</v>
      </c>
      <c r="X2" s="66" t="s">
        <v>829</v>
      </c>
      <c r="Y2" s="96">
        <f>1300*4</f>
        <v>5200</v>
      </c>
      <c r="Z2" s="96">
        <f>46*4</f>
        <v>184</v>
      </c>
      <c r="AA2" s="97">
        <f>4800*4</f>
        <v>19200</v>
      </c>
      <c r="AB2" s="66"/>
      <c r="AC2" s="66"/>
      <c r="AD2" s="66"/>
      <c r="AE2" s="66"/>
      <c r="AF2" s="66"/>
      <c r="AG2" s="66"/>
      <c r="AH2" s="66"/>
    </row>
    <row r="3" s="61" customFormat="1" ht="11" customHeight="1" spans="1:34">
      <c r="A3" s="66" t="s">
        <v>25</v>
      </c>
      <c r="B3" s="66" t="s">
        <v>809</v>
      </c>
      <c r="C3" s="67" t="s">
        <v>833</v>
      </c>
      <c r="D3" s="66" t="s">
        <v>1061</v>
      </c>
      <c r="E3" s="68">
        <v>46179</v>
      </c>
      <c r="F3" s="66" t="s">
        <v>1062</v>
      </c>
      <c r="G3" s="66">
        <v>27.5</v>
      </c>
      <c r="H3" s="69">
        <v>1500</v>
      </c>
      <c r="I3" s="69">
        <f>G3*H3</f>
        <v>41250</v>
      </c>
      <c r="J3" s="66">
        <v>0</v>
      </c>
      <c r="K3" s="66">
        <f>G3-J3</f>
        <v>27.5</v>
      </c>
      <c r="L3" s="69">
        <v>0</v>
      </c>
      <c r="M3" s="69">
        <f>I3-L3</f>
        <v>41250</v>
      </c>
      <c r="N3" s="69">
        <f t="shared" si="0"/>
        <v>0</v>
      </c>
      <c r="O3" s="78">
        <f t="shared" si="1"/>
        <v>0</v>
      </c>
      <c r="P3" s="69">
        <v>0</v>
      </c>
      <c r="Q3" s="69">
        <f>P3*G3</f>
        <v>0</v>
      </c>
      <c r="R3" s="66">
        <v>6.8177</v>
      </c>
      <c r="S3" s="78">
        <v>11104</v>
      </c>
      <c r="T3" s="78">
        <v>11100</v>
      </c>
      <c r="U3" s="78">
        <f>S3*G3</f>
        <v>305360</v>
      </c>
      <c r="V3" s="66" t="s">
        <v>1060</v>
      </c>
      <c r="W3" s="66" t="s">
        <v>155</v>
      </c>
      <c r="X3" s="67" t="s">
        <v>835</v>
      </c>
      <c r="Y3" s="98">
        <v>1300</v>
      </c>
      <c r="Z3" s="98">
        <v>46</v>
      </c>
      <c r="AA3" s="99">
        <v>4800</v>
      </c>
      <c r="AB3" s="66"/>
      <c r="AC3" s="66"/>
      <c r="AD3" s="66"/>
      <c r="AE3" s="66"/>
      <c r="AF3" s="66"/>
      <c r="AG3" s="66"/>
      <c r="AH3" s="66"/>
    </row>
    <row r="4" s="61" customFormat="1" ht="13" customHeight="1" spans="1:34">
      <c r="A4" s="66" t="s">
        <v>25</v>
      </c>
      <c r="B4" s="66" t="s">
        <v>809</v>
      </c>
      <c r="C4" s="67" t="s">
        <v>833</v>
      </c>
      <c r="D4" s="66" t="s">
        <v>1061</v>
      </c>
      <c r="E4" s="68">
        <v>46179</v>
      </c>
      <c r="F4" s="66" t="s">
        <v>1063</v>
      </c>
      <c r="G4" s="66">
        <v>0.1</v>
      </c>
      <c r="H4" s="69">
        <v>1540</v>
      </c>
      <c r="I4" s="69">
        <f>G4*H4</f>
        <v>154</v>
      </c>
      <c r="J4" s="66">
        <v>0</v>
      </c>
      <c r="K4" s="66">
        <f>G4-J4</f>
        <v>0.1</v>
      </c>
      <c r="L4" s="69">
        <v>0</v>
      </c>
      <c r="M4" s="69">
        <f>I4-L4</f>
        <v>154</v>
      </c>
      <c r="N4" s="69">
        <f t="shared" si="0"/>
        <v>0</v>
      </c>
      <c r="O4" s="78">
        <f t="shared" si="1"/>
        <v>0</v>
      </c>
      <c r="P4" s="69">
        <v>0</v>
      </c>
      <c r="Q4" s="69">
        <f>P4*G4</f>
        <v>0</v>
      </c>
      <c r="R4" s="66">
        <v>6.8177</v>
      </c>
      <c r="S4" s="78">
        <v>11312</v>
      </c>
      <c r="T4" s="78">
        <v>11100</v>
      </c>
      <c r="U4" s="78">
        <f>S4*G4</f>
        <v>1131.2</v>
      </c>
      <c r="V4" s="66" t="s">
        <v>1060</v>
      </c>
      <c r="W4" s="66" t="s">
        <v>155</v>
      </c>
      <c r="X4" s="66" t="s">
        <v>835</v>
      </c>
      <c r="Y4" s="98"/>
      <c r="Z4" s="98"/>
      <c r="AA4" s="99"/>
      <c r="AB4" s="66"/>
      <c r="AC4" s="66"/>
      <c r="AD4" s="66"/>
      <c r="AE4" s="66"/>
      <c r="AF4" s="66"/>
      <c r="AG4" s="66"/>
      <c r="AH4" s="66"/>
    </row>
    <row r="5" s="61" customFormat="1" ht="11" customHeight="1" spans="1:34">
      <c r="A5" s="66" t="s">
        <v>25</v>
      </c>
      <c r="B5" s="66" t="s">
        <v>809</v>
      </c>
      <c r="C5" s="67" t="s">
        <v>833</v>
      </c>
      <c r="D5" s="66" t="s">
        <v>1061</v>
      </c>
      <c r="E5" s="68">
        <v>46179</v>
      </c>
      <c r="F5" s="66" t="s">
        <v>1064</v>
      </c>
      <c r="G5" s="66">
        <v>0.1</v>
      </c>
      <c r="H5" s="69">
        <v>2230</v>
      </c>
      <c r="I5" s="69">
        <f>G5*H5</f>
        <v>223</v>
      </c>
      <c r="J5" s="66">
        <v>0</v>
      </c>
      <c r="K5" s="66">
        <f>G5-J5</f>
        <v>0.1</v>
      </c>
      <c r="L5" s="69">
        <v>0</v>
      </c>
      <c r="M5" s="69">
        <f>I5-L5</f>
        <v>223</v>
      </c>
      <c r="N5" s="69">
        <f t="shared" si="0"/>
        <v>0</v>
      </c>
      <c r="O5" s="78">
        <f t="shared" si="1"/>
        <v>0</v>
      </c>
      <c r="P5" s="69">
        <v>0</v>
      </c>
      <c r="Q5" s="69">
        <f>P5*G5</f>
        <v>0</v>
      </c>
      <c r="R5" s="66">
        <v>6.8177</v>
      </c>
      <c r="S5" s="78">
        <v>16628</v>
      </c>
      <c r="T5" s="78">
        <v>15500</v>
      </c>
      <c r="U5" s="78">
        <f>S5*G5</f>
        <v>1662.8</v>
      </c>
      <c r="V5" s="66" t="s">
        <v>1060</v>
      </c>
      <c r="W5" s="66" t="s">
        <v>155</v>
      </c>
      <c r="X5" s="67" t="s">
        <v>835</v>
      </c>
      <c r="Y5" s="96"/>
      <c r="Z5" s="96"/>
      <c r="AA5" s="97"/>
      <c r="AB5" s="66"/>
      <c r="AC5" s="66"/>
      <c r="AD5" s="66"/>
      <c r="AE5" s="66"/>
      <c r="AF5" s="66"/>
      <c r="AG5" s="66"/>
      <c r="AH5" s="66"/>
    </row>
    <row r="6" s="61" customFormat="1" ht="13.85" spans="1:34">
      <c r="A6" s="66" t="s">
        <v>37</v>
      </c>
      <c r="B6" s="66" t="s">
        <v>173</v>
      </c>
      <c r="C6" s="67" t="s">
        <v>1065</v>
      </c>
      <c r="D6" s="66" t="s">
        <v>1066</v>
      </c>
      <c r="E6" s="68">
        <v>46268</v>
      </c>
      <c r="F6" s="66" t="s">
        <v>1067</v>
      </c>
      <c r="G6" s="66">
        <v>28</v>
      </c>
      <c r="H6" s="69">
        <v>1330</v>
      </c>
      <c r="I6" s="69">
        <f>G6*H6</f>
        <v>37240</v>
      </c>
      <c r="J6" s="66">
        <v>0</v>
      </c>
      <c r="K6" s="66">
        <f>G6-J6</f>
        <v>28</v>
      </c>
      <c r="L6" s="69">
        <v>0</v>
      </c>
      <c r="M6" s="69">
        <f>I6-L6</f>
        <v>37240</v>
      </c>
      <c r="N6" s="69">
        <f t="shared" si="0"/>
        <v>0</v>
      </c>
      <c r="O6" s="78">
        <f t="shared" si="1"/>
        <v>0</v>
      </c>
      <c r="P6" s="69">
        <v>0</v>
      </c>
      <c r="Q6" s="69">
        <f>P6*G6</f>
        <v>0</v>
      </c>
      <c r="R6" s="66">
        <v>6.74</v>
      </c>
      <c r="S6" s="78">
        <v>9379</v>
      </c>
      <c r="T6" s="78"/>
      <c r="U6" s="78">
        <f>S6*G6</f>
        <v>262612</v>
      </c>
      <c r="V6" s="66" t="s">
        <v>1060</v>
      </c>
      <c r="W6" s="66" t="s">
        <v>246</v>
      </c>
      <c r="X6" s="66" t="s">
        <v>829</v>
      </c>
      <c r="Y6" s="98">
        <v>2100</v>
      </c>
      <c r="Z6" s="98">
        <v>0</v>
      </c>
      <c r="AA6" s="97">
        <v>5000</v>
      </c>
      <c r="AB6" s="66"/>
      <c r="AC6" s="66"/>
      <c r="AD6" s="66"/>
      <c r="AE6" s="66"/>
      <c r="AF6" s="66"/>
      <c r="AG6" s="66"/>
      <c r="AH6" s="66"/>
    </row>
    <row r="7" s="34" customFormat="1" ht="13.85" spans="1:34">
      <c r="A7" s="24" t="s">
        <v>25</v>
      </c>
      <c r="B7" s="70" t="s">
        <v>809</v>
      </c>
      <c r="C7" s="51" t="s">
        <v>1068</v>
      </c>
      <c r="D7" s="24" t="s">
        <v>1069</v>
      </c>
      <c r="E7" s="71">
        <v>46065</v>
      </c>
      <c r="F7" s="24" t="s">
        <v>1062</v>
      </c>
      <c r="G7" s="24">
        <v>55</v>
      </c>
      <c r="H7" s="72">
        <v>1035</v>
      </c>
      <c r="I7" s="72">
        <f t="shared" ref="I7:I38" si="2">G7*H7</f>
        <v>56925</v>
      </c>
      <c r="J7" s="24">
        <v>55</v>
      </c>
      <c r="K7" s="24">
        <f t="shared" ref="K7:K38" si="3">G7-J7</f>
        <v>0</v>
      </c>
      <c r="L7" s="72">
        <f>长科收款!E28</f>
        <v>56925</v>
      </c>
      <c r="M7" s="79">
        <f t="shared" ref="M7:M38" si="4">I7-L7</f>
        <v>0</v>
      </c>
      <c r="N7" s="72">
        <f t="shared" si="0"/>
        <v>0</v>
      </c>
      <c r="O7" s="73">
        <f t="shared" si="1"/>
        <v>0</v>
      </c>
      <c r="P7" s="72">
        <v>10</v>
      </c>
      <c r="Q7" s="88">
        <f t="shared" ref="Q7:Q52" si="5">P7*G7</f>
        <v>550</v>
      </c>
      <c r="R7" s="24">
        <v>6.9636</v>
      </c>
      <c r="S7" s="73">
        <v>7454</v>
      </c>
      <c r="T7" s="73">
        <v>7450</v>
      </c>
      <c r="U7" s="73">
        <f t="shared" ref="U7:U38" si="6">S7*G7</f>
        <v>409970</v>
      </c>
      <c r="V7" s="24" t="s">
        <v>1060</v>
      </c>
      <c r="W7" s="24" t="s">
        <v>155</v>
      </c>
      <c r="X7" s="24" t="s">
        <v>829</v>
      </c>
      <c r="Y7" s="72">
        <f>1500*2</f>
        <v>3000</v>
      </c>
      <c r="Z7" s="72">
        <f>31*2</f>
        <v>62</v>
      </c>
      <c r="AA7" s="73">
        <f>5000*2</f>
        <v>10000</v>
      </c>
      <c r="AB7" s="24"/>
      <c r="AC7" s="24"/>
      <c r="AD7" s="24"/>
      <c r="AE7" s="24"/>
      <c r="AF7" s="24"/>
      <c r="AG7" s="24"/>
      <c r="AH7" s="24"/>
    </row>
    <row r="8" s="34" customFormat="1" ht="13.85" spans="1:34">
      <c r="A8" s="24" t="s">
        <v>25</v>
      </c>
      <c r="B8" s="70" t="s">
        <v>809</v>
      </c>
      <c r="C8" s="51" t="s">
        <v>1070</v>
      </c>
      <c r="D8" s="24" t="s">
        <v>1071</v>
      </c>
      <c r="E8" s="71">
        <v>46065</v>
      </c>
      <c r="F8" s="24" t="s">
        <v>1062</v>
      </c>
      <c r="G8" s="24">
        <v>55</v>
      </c>
      <c r="H8" s="72">
        <v>985</v>
      </c>
      <c r="I8" s="72">
        <f t="shared" si="2"/>
        <v>54175</v>
      </c>
      <c r="J8" s="24">
        <v>55</v>
      </c>
      <c r="K8" s="24">
        <f t="shared" si="3"/>
        <v>0</v>
      </c>
      <c r="L8" s="80">
        <f>长科收款!E32</f>
        <v>54175</v>
      </c>
      <c r="M8" s="80">
        <f t="shared" si="4"/>
        <v>0</v>
      </c>
      <c r="N8" s="72">
        <f t="shared" ref="N8:N38" si="7">H8*J8-L8</f>
        <v>0</v>
      </c>
      <c r="O8" s="73">
        <f t="shared" ref="O8:O62" si="8">N8*R8</f>
        <v>0</v>
      </c>
      <c r="P8" s="72">
        <v>10</v>
      </c>
      <c r="Q8" s="88">
        <f t="shared" si="5"/>
        <v>550</v>
      </c>
      <c r="R8" s="24">
        <v>6.9636</v>
      </c>
      <c r="S8" s="73">
        <v>7463</v>
      </c>
      <c r="T8" s="73">
        <v>7450</v>
      </c>
      <c r="U8" s="73">
        <f t="shared" si="6"/>
        <v>410465</v>
      </c>
      <c r="V8" s="24" t="s">
        <v>1060</v>
      </c>
      <c r="W8" s="24" t="s">
        <v>190</v>
      </c>
      <c r="X8" s="4" t="s">
        <v>1072</v>
      </c>
      <c r="Y8" s="72">
        <v>0</v>
      </c>
      <c r="Z8" s="72">
        <v>0</v>
      </c>
      <c r="AA8" s="73">
        <f>6000*2</f>
        <v>12000</v>
      </c>
      <c r="AB8" s="24"/>
      <c r="AC8" s="24"/>
      <c r="AD8" s="24"/>
      <c r="AE8" s="24"/>
      <c r="AF8" s="24"/>
      <c r="AG8" s="24"/>
      <c r="AH8" s="24"/>
    </row>
    <row r="9" s="34" customFormat="1" ht="13.85" spans="1:34">
      <c r="A9" s="24" t="s">
        <v>201</v>
      </c>
      <c r="B9" s="24" t="s">
        <v>173</v>
      </c>
      <c r="C9" s="51" t="s">
        <v>1073</v>
      </c>
      <c r="D9" s="24" t="s">
        <v>1074</v>
      </c>
      <c r="E9" s="71">
        <v>46066</v>
      </c>
      <c r="F9" s="24" t="s">
        <v>1067</v>
      </c>
      <c r="G9" s="24">
        <v>27.5</v>
      </c>
      <c r="H9" s="72">
        <v>1060</v>
      </c>
      <c r="I9" s="72">
        <f t="shared" si="2"/>
        <v>29150</v>
      </c>
      <c r="J9" s="24">
        <v>27.5</v>
      </c>
      <c r="K9" s="24">
        <f t="shared" si="3"/>
        <v>0</v>
      </c>
      <c r="L9" s="72">
        <f>长科收款!E2+长科收款!E3</f>
        <v>29127</v>
      </c>
      <c r="M9" s="72">
        <f t="shared" si="4"/>
        <v>23</v>
      </c>
      <c r="N9" s="72">
        <f t="shared" si="7"/>
        <v>23</v>
      </c>
      <c r="O9" s="73">
        <f t="shared" si="8"/>
        <v>160.54</v>
      </c>
      <c r="P9" s="72">
        <v>0</v>
      </c>
      <c r="Q9" s="72">
        <f t="shared" si="5"/>
        <v>0</v>
      </c>
      <c r="R9" s="24">
        <v>6.98</v>
      </c>
      <c r="S9" s="73">
        <v>7978</v>
      </c>
      <c r="T9" s="73">
        <v>7950</v>
      </c>
      <c r="U9" s="73">
        <f t="shared" si="6"/>
        <v>219395</v>
      </c>
      <c r="V9" s="24" t="s">
        <v>1060</v>
      </c>
      <c r="W9" s="24" t="s">
        <v>155</v>
      </c>
      <c r="X9" s="24" t="s">
        <v>198</v>
      </c>
      <c r="Y9" s="72">
        <v>600</v>
      </c>
      <c r="Z9" s="72">
        <v>31</v>
      </c>
      <c r="AA9" s="73">
        <v>5000</v>
      </c>
      <c r="AB9" s="24"/>
      <c r="AC9" s="24"/>
      <c r="AD9" s="24"/>
      <c r="AE9" s="24"/>
      <c r="AF9" s="24"/>
      <c r="AG9" s="24"/>
      <c r="AH9" s="24"/>
    </row>
    <row r="10" s="34" customFormat="1" ht="13" customHeight="1" spans="1:34">
      <c r="A10" s="24" t="s">
        <v>37</v>
      </c>
      <c r="B10" s="24" t="s">
        <v>183</v>
      </c>
      <c r="C10" s="51" t="s">
        <v>1075</v>
      </c>
      <c r="D10" s="24" t="s">
        <v>1076</v>
      </c>
      <c r="E10" s="71">
        <v>46067</v>
      </c>
      <c r="F10" s="24" t="s">
        <v>1077</v>
      </c>
      <c r="G10" s="24">
        <v>0.5</v>
      </c>
      <c r="H10" s="73">
        <v>5400</v>
      </c>
      <c r="I10" s="73">
        <f t="shared" si="2"/>
        <v>2700</v>
      </c>
      <c r="J10" s="24">
        <v>0.5</v>
      </c>
      <c r="K10" s="24">
        <f t="shared" si="3"/>
        <v>0</v>
      </c>
      <c r="L10" s="73">
        <v>2700</v>
      </c>
      <c r="M10" s="73">
        <f t="shared" si="4"/>
        <v>0</v>
      </c>
      <c r="N10" s="72">
        <f t="shared" si="7"/>
        <v>0</v>
      </c>
      <c r="O10" s="73">
        <f t="shared" si="8"/>
        <v>0</v>
      </c>
      <c r="P10" s="73">
        <v>0</v>
      </c>
      <c r="Q10" s="72">
        <f t="shared" si="5"/>
        <v>0</v>
      </c>
      <c r="R10" s="24">
        <v>1</v>
      </c>
      <c r="S10" s="73">
        <v>5400</v>
      </c>
      <c r="T10" s="73">
        <v>5280</v>
      </c>
      <c r="U10" s="73">
        <f t="shared" si="6"/>
        <v>2700</v>
      </c>
      <c r="V10" s="24" t="s">
        <v>1078</v>
      </c>
      <c r="W10" s="24" t="s">
        <v>168</v>
      </c>
      <c r="X10" s="24" t="s">
        <v>169</v>
      </c>
      <c r="Y10" s="72">
        <v>0</v>
      </c>
      <c r="Z10" s="72">
        <v>0</v>
      </c>
      <c r="AA10" s="73">
        <v>0</v>
      </c>
      <c r="AB10" s="24">
        <v>0</v>
      </c>
      <c r="AC10" s="24"/>
      <c r="AD10" s="24"/>
      <c r="AE10" s="24"/>
      <c r="AF10" s="24"/>
      <c r="AG10" s="24"/>
      <c r="AH10" s="24"/>
    </row>
    <row r="11" s="34" customFormat="1" ht="13" customHeight="1" spans="1:34">
      <c r="A11" s="24" t="s">
        <v>37</v>
      </c>
      <c r="B11" s="24" t="s">
        <v>183</v>
      </c>
      <c r="C11" s="51" t="s">
        <v>1075</v>
      </c>
      <c r="D11" s="24" t="s">
        <v>1076</v>
      </c>
      <c r="E11" s="71">
        <v>46067</v>
      </c>
      <c r="F11" s="24" t="s">
        <v>1079</v>
      </c>
      <c r="G11" s="24">
        <v>0.5</v>
      </c>
      <c r="H11" s="73">
        <v>6300</v>
      </c>
      <c r="I11" s="73">
        <f t="shared" si="2"/>
        <v>3150</v>
      </c>
      <c r="J11" s="24">
        <v>0.5</v>
      </c>
      <c r="K11" s="24">
        <f t="shared" si="3"/>
        <v>0</v>
      </c>
      <c r="L11" s="73">
        <v>3150</v>
      </c>
      <c r="M11" s="73">
        <f t="shared" si="4"/>
        <v>0</v>
      </c>
      <c r="N11" s="72">
        <f t="shared" si="7"/>
        <v>0</v>
      </c>
      <c r="O11" s="73">
        <f t="shared" si="8"/>
        <v>0</v>
      </c>
      <c r="P11" s="73">
        <v>0</v>
      </c>
      <c r="Q11" s="72">
        <f t="shared" si="5"/>
        <v>0</v>
      </c>
      <c r="R11" s="24">
        <v>1</v>
      </c>
      <c r="S11" s="73">
        <v>6300</v>
      </c>
      <c r="T11" s="73">
        <v>6180</v>
      </c>
      <c r="U11" s="73">
        <f t="shared" si="6"/>
        <v>3150</v>
      </c>
      <c r="V11" s="24" t="s">
        <v>1078</v>
      </c>
      <c r="W11" s="24" t="s">
        <v>168</v>
      </c>
      <c r="X11" s="24" t="s">
        <v>169</v>
      </c>
      <c r="Y11" s="72">
        <v>0</v>
      </c>
      <c r="Z11" s="72">
        <v>0</v>
      </c>
      <c r="AA11" s="73">
        <v>0</v>
      </c>
      <c r="AB11" s="24">
        <v>0</v>
      </c>
      <c r="AC11" s="24"/>
      <c r="AD11" s="24"/>
      <c r="AE11" s="24"/>
      <c r="AF11" s="24"/>
      <c r="AG11" s="24"/>
      <c r="AH11" s="24"/>
    </row>
    <row r="12" s="34" customFormat="1" ht="13" customHeight="1" spans="1:34">
      <c r="A12" s="24" t="s">
        <v>1080</v>
      </c>
      <c r="B12" s="24" t="s">
        <v>183</v>
      </c>
      <c r="C12" s="51" t="s">
        <v>847</v>
      </c>
      <c r="D12" s="24" t="s">
        <v>1081</v>
      </c>
      <c r="E12" s="71">
        <v>46068</v>
      </c>
      <c r="F12" s="24" t="s">
        <v>1063</v>
      </c>
      <c r="G12" s="24">
        <v>27</v>
      </c>
      <c r="H12" s="72">
        <v>1230</v>
      </c>
      <c r="I12" s="72">
        <f t="shared" si="2"/>
        <v>33210</v>
      </c>
      <c r="J12" s="24">
        <v>27</v>
      </c>
      <c r="K12" s="24">
        <f t="shared" si="3"/>
        <v>0</v>
      </c>
      <c r="L12" s="72">
        <f>长科收款!E6</f>
        <v>33210</v>
      </c>
      <c r="M12" s="72">
        <f t="shared" si="4"/>
        <v>0</v>
      </c>
      <c r="N12" s="72">
        <f t="shared" si="7"/>
        <v>0</v>
      </c>
      <c r="O12" s="73">
        <f t="shared" si="8"/>
        <v>0</v>
      </c>
      <c r="P12" s="72">
        <v>30</v>
      </c>
      <c r="Q12" s="72">
        <f t="shared" si="5"/>
        <v>810</v>
      </c>
      <c r="R12" s="24">
        <v>6.96</v>
      </c>
      <c r="S12" s="73">
        <v>7808</v>
      </c>
      <c r="T12" s="73">
        <v>7600</v>
      </c>
      <c r="U12" s="73">
        <f t="shared" si="6"/>
        <v>210816</v>
      </c>
      <c r="V12" s="24" t="s">
        <v>1082</v>
      </c>
      <c r="W12" s="24" t="s">
        <v>155</v>
      </c>
      <c r="X12" s="24" t="s">
        <v>851</v>
      </c>
      <c r="Y12" s="72">
        <v>4500</v>
      </c>
      <c r="Z12" s="72">
        <v>37</v>
      </c>
      <c r="AA12" s="73">
        <v>5000</v>
      </c>
      <c r="AB12" s="24"/>
      <c r="AC12" s="24"/>
      <c r="AD12" s="24"/>
      <c r="AE12" s="24"/>
      <c r="AF12" s="24"/>
      <c r="AG12" s="24"/>
      <c r="AH12" s="24"/>
    </row>
    <row r="13" s="34" customFormat="1" ht="13" customHeight="1" spans="1:34">
      <c r="A13" s="24" t="s">
        <v>193</v>
      </c>
      <c r="B13" s="24" t="s">
        <v>183</v>
      </c>
      <c r="C13" s="51" t="s">
        <v>1083</v>
      </c>
      <c r="D13" s="24" t="s">
        <v>1084</v>
      </c>
      <c r="E13" s="71">
        <v>46117</v>
      </c>
      <c r="F13" s="24" t="s">
        <v>1064</v>
      </c>
      <c r="G13" s="24">
        <v>27.5</v>
      </c>
      <c r="H13" s="72">
        <v>1780</v>
      </c>
      <c r="I13" s="72">
        <f t="shared" si="2"/>
        <v>48950</v>
      </c>
      <c r="J13" s="24">
        <v>27.5</v>
      </c>
      <c r="K13" s="24">
        <f t="shared" si="3"/>
        <v>0</v>
      </c>
      <c r="L13" s="72">
        <f>长科收款!E5</f>
        <v>48950</v>
      </c>
      <c r="M13" s="72">
        <f t="shared" si="4"/>
        <v>0</v>
      </c>
      <c r="N13" s="72">
        <f t="shared" si="7"/>
        <v>0</v>
      </c>
      <c r="O13" s="73">
        <f t="shared" si="8"/>
        <v>0</v>
      </c>
      <c r="P13" s="72">
        <v>0</v>
      </c>
      <c r="Q13" s="72">
        <f t="shared" si="5"/>
        <v>0</v>
      </c>
      <c r="R13" s="24">
        <v>6.87</v>
      </c>
      <c r="S13" s="73">
        <v>13810</v>
      </c>
      <c r="T13" s="73">
        <v>7601</v>
      </c>
      <c r="U13" s="73">
        <f t="shared" si="6"/>
        <v>379775</v>
      </c>
      <c r="V13" s="24" t="s">
        <v>1060</v>
      </c>
      <c r="W13" s="24" t="s">
        <v>168</v>
      </c>
      <c r="X13" s="24" t="s">
        <v>169</v>
      </c>
      <c r="Y13" s="72">
        <v>0</v>
      </c>
      <c r="Z13" s="72">
        <v>0</v>
      </c>
      <c r="AA13" s="73">
        <v>0</v>
      </c>
      <c r="AB13" s="24">
        <v>0</v>
      </c>
      <c r="AC13" s="24"/>
      <c r="AD13" s="24"/>
      <c r="AE13" s="24"/>
      <c r="AF13" s="24"/>
      <c r="AG13" s="24"/>
      <c r="AH13" s="24"/>
    </row>
    <row r="14" s="34" customFormat="1" ht="13" customHeight="1" spans="1:34">
      <c r="A14" s="24" t="s">
        <v>37</v>
      </c>
      <c r="B14" s="24" t="s">
        <v>164</v>
      </c>
      <c r="C14" s="51" t="s">
        <v>842</v>
      </c>
      <c r="D14" s="24" t="s">
        <v>1085</v>
      </c>
      <c r="E14" s="71">
        <v>46132</v>
      </c>
      <c r="F14" s="24" t="s">
        <v>1086</v>
      </c>
      <c r="G14" s="24">
        <v>600</v>
      </c>
      <c r="H14" s="72">
        <v>1030</v>
      </c>
      <c r="I14" s="72">
        <f t="shared" si="2"/>
        <v>618000</v>
      </c>
      <c r="J14" s="24">
        <f>280+120+160+40</f>
        <v>600</v>
      </c>
      <c r="K14" s="24">
        <f t="shared" si="3"/>
        <v>0</v>
      </c>
      <c r="L14" s="72">
        <f>长科收款!E11+长科收款!E8-3920+329600</f>
        <v>618000</v>
      </c>
      <c r="M14" s="72">
        <f t="shared" si="4"/>
        <v>0</v>
      </c>
      <c r="N14" s="72">
        <f t="shared" si="7"/>
        <v>0</v>
      </c>
      <c r="O14" s="73">
        <f t="shared" si="8"/>
        <v>0</v>
      </c>
      <c r="P14" s="72">
        <v>0</v>
      </c>
      <c r="Q14" s="72">
        <f t="shared" si="5"/>
        <v>0</v>
      </c>
      <c r="R14" s="24">
        <v>6.875</v>
      </c>
      <c r="S14" s="73">
        <v>7081</v>
      </c>
      <c r="T14" s="73">
        <v>7050</v>
      </c>
      <c r="U14" s="73">
        <f t="shared" si="6"/>
        <v>4248600</v>
      </c>
      <c r="V14" s="24" t="s">
        <v>1087</v>
      </c>
      <c r="W14" s="24" t="s">
        <v>168</v>
      </c>
      <c r="X14" s="24" t="s">
        <v>169</v>
      </c>
      <c r="Y14" s="72">
        <v>0</v>
      </c>
      <c r="Z14" s="72">
        <v>0</v>
      </c>
      <c r="AA14" s="73">
        <v>0</v>
      </c>
      <c r="AB14" s="24"/>
      <c r="AC14" s="24"/>
      <c r="AD14" s="24"/>
      <c r="AE14" s="24"/>
      <c r="AF14" s="24"/>
      <c r="AG14" s="24"/>
      <c r="AH14" s="24"/>
    </row>
    <row r="15" s="34" customFormat="1" ht="13" customHeight="1" spans="1:34">
      <c r="A15" s="24" t="s">
        <v>37</v>
      </c>
      <c r="B15" s="24" t="s">
        <v>164</v>
      </c>
      <c r="C15" s="51" t="s">
        <v>842</v>
      </c>
      <c r="D15" s="24" t="s">
        <v>1085</v>
      </c>
      <c r="E15" s="71">
        <v>46132</v>
      </c>
      <c r="F15" s="24" t="s">
        <v>1077</v>
      </c>
      <c r="G15" s="24">
        <v>20</v>
      </c>
      <c r="H15" s="72">
        <v>980</v>
      </c>
      <c r="I15" s="72">
        <f t="shared" si="2"/>
        <v>19600</v>
      </c>
      <c r="J15" s="24">
        <v>20</v>
      </c>
      <c r="K15" s="24">
        <f t="shared" si="3"/>
        <v>0</v>
      </c>
      <c r="L15" s="72">
        <f>3920+15680</f>
        <v>19600</v>
      </c>
      <c r="M15" s="72">
        <f t="shared" si="4"/>
        <v>0</v>
      </c>
      <c r="N15" s="72">
        <f t="shared" si="7"/>
        <v>0</v>
      </c>
      <c r="O15" s="73">
        <f t="shared" si="8"/>
        <v>0</v>
      </c>
      <c r="P15" s="72">
        <v>0</v>
      </c>
      <c r="Q15" s="72">
        <f t="shared" si="5"/>
        <v>0</v>
      </c>
      <c r="R15" s="24">
        <v>6.875</v>
      </c>
      <c r="S15" s="73">
        <v>6737</v>
      </c>
      <c r="T15" s="73">
        <v>6700</v>
      </c>
      <c r="U15" s="73">
        <f t="shared" si="6"/>
        <v>134740</v>
      </c>
      <c r="V15" s="24" t="s">
        <v>1087</v>
      </c>
      <c r="W15" s="24" t="s">
        <v>168</v>
      </c>
      <c r="X15" s="24" t="s">
        <v>169</v>
      </c>
      <c r="Y15" s="72">
        <v>0</v>
      </c>
      <c r="Z15" s="72">
        <v>0</v>
      </c>
      <c r="AA15" s="73">
        <v>0</v>
      </c>
      <c r="AB15" s="24"/>
      <c r="AC15" s="24"/>
      <c r="AD15" s="24"/>
      <c r="AE15" s="24"/>
      <c r="AF15" s="24"/>
      <c r="AG15" s="24"/>
      <c r="AH15" s="24"/>
    </row>
    <row r="16" s="34" customFormat="1" ht="13" customHeight="1" spans="1:34">
      <c r="A16" s="24" t="s">
        <v>150</v>
      </c>
      <c r="B16" s="24" t="s">
        <v>173</v>
      </c>
      <c r="C16" s="51" t="s">
        <v>839</v>
      </c>
      <c r="D16" s="24" t="s">
        <v>1088</v>
      </c>
      <c r="E16" s="71">
        <v>46125</v>
      </c>
      <c r="F16" s="24" t="s">
        <v>1089</v>
      </c>
      <c r="G16" s="66">
        <v>9.6</v>
      </c>
      <c r="H16" s="72">
        <v>1120</v>
      </c>
      <c r="I16" s="72">
        <f t="shared" si="2"/>
        <v>10752</v>
      </c>
      <c r="J16" s="24">
        <v>9.6</v>
      </c>
      <c r="K16" s="66">
        <f t="shared" si="3"/>
        <v>0</v>
      </c>
      <c r="L16" s="72">
        <f>长科收款!E13+3923.85</f>
        <v>10752</v>
      </c>
      <c r="M16" s="72">
        <f t="shared" si="4"/>
        <v>0</v>
      </c>
      <c r="N16" s="72">
        <f t="shared" si="7"/>
        <v>0</v>
      </c>
      <c r="O16" s="73">
        <f t="shared" si="8"/>
        <v>0</v>
      </c>
      <c r="P16" s="72">
        <v>0</v>
      </c>
      <c r="Q16" s="72">
        <f t="shared" si="5"/>
        <v>0</v>
      </c>
      <c r="R16" s="24">
        <v>6.87</v>
      </c>
      <c r="S16" s="73">
        <v>7417</v>
      </c>
      <c r="T16" s="73">
        <v>7250</v>
      </c>
      <c r="U16" s="73">
        <f t="shared" si="6"/>
        <v>71203.2</v>
      </c>
      <c r="V16" s="24" t="s">
        <v>841</v>
      </c>
      <c r="W16" s="24" t="s">
        <v>155</v>
      </c>
      <c r="X16" s="24" t="s">
        <v>820</v>
      </c>
      <c r="Y16" s="100">
        <v>4500</v>
      </c>
      <c r="Z16" s="100">
        <v>150</v>
      </c>
      <c r="AA16" s="101">
        <v>30</v>
      </c>
      <c r="AB16" s="24"/>
      <c r="AC16" s="24"/>
      <c r="AD16" s="24"/>
      <c r="AE16" s="24"/>
      <c r="AF16" s="24"/>
      <c r="AG16" s="24"/>
      <c r="AH16" s="24"/>
    </row>
    <row r="17" s="34" customFormat="1" ht="13" customHeight="1" spans="1:34">
      <c r="A17" s="24" t="s">
        <v>150</v>
      </c>
      <c r="B17" s="24" t="s">
        <v>173</v>
      </c>
      <c r="C17" s="51" t="s">
        <v>839</v>
      </c>
      <c r="D17" s="24" t="s">
        <v>1088</v>
      </c>
      <c r="E17" s="71">
        <v>46125</v>
      </c>
      <c r="F17" s="24" t="s">
        <v>1079</v>
      </c>
      <c r="G17" s="24">
        <v>2.2</v>
      </c>
      <c r="H17" s="72">
        <v>1170</v>
      </c>
      <c r="I17" s="72">
        <f t="shared" si="2"/>
        <v>2574</v>
      </c>
      <c r="J17" s="24">
        <v>2.2</v>
      </c>
      <c r="K17" s="24">
        <f t="shared" si="3"/>
        <v>0</v>
      </c>
      <c r="L17" s="72">
        <v>2574</v>
      </c>
      <c r="M17" s="72">
        <f t="shared" si="4"/>
        <v>0</v>
      </c>
      <c r="N17" s="72">
        <f t="shared" si="7"/>
        <v>0</v>
      </c>
      <c r="O17" s="73">
        <f t="shared" si="8"/>
        <v>0</v>
      </c>
      <c r="P17" s="72">
        <v>0</v>
      </c>
      <c r="Q17" s="72">
        <f t="shared" si="5"/>
        <v>0</v>
      </c>
      <c r="R17" s="24">
        <v>6.87</v>
      </c>
      <c r="S17" s="73">
        <v>7760</v>
      </c>
      <c r="T17" s="73">
        <v>7600</v>
      </c>
      <c r="U17" s="73">
        <f t="shared" si="6"/>
        <v>17072</v>
      </c>
      <c r="V17" s="24" t="s">
        <v>841</v>
      </c>
      <c r="W17" s="24" t="s">
        <v>155</v>
      </c>
      <c r="X17" s="24" t="s">
        <v>820</v>
      </c>
      <c r="Y17" s="102"/>
      <c r="Z17" s="102"/>
      <c r="AA17" s="103"/>
      <c r="AB17" s="24"/>
      <c r="AC17" s="24"/>
      <c r="AD17" s="24"/>
      <c r="AE17" s="24"/>
      <c r="AF17" s="24"/>
      <c r="AG17" s="24"/>
      <c r="AH17" s="24"/>
    </row>
    <row r="18" s="34" customFormat="1" ht="13" customHeight="1" spans="1:34">
      <c r="A18" s="24" t="s">
        <v>150</v>
      </c>
      <c r="B18" s="24" t="s">
        <v>173</v>
      </c>
      <c r="C18" s="51" t="s">
        <v>839</v>
      </c>
      <c r="D18" s="24" t="s">
        <v>1088</v>
      </c>
      <c r="E18" s="71">
        <v>46125</v>
      </c>
      <c r="F18" s="24" t="s">
        <v>1090</v>
      </c>
      <c r="G18" s="66">
        <v>4.4</v>
      </c>
      <c r="H18" s="72">
        <v>1055</v>
      </c>
      <c r="I18" s="72">
        <f t="shared" si="2"/>
        <v>4642</v>
      </c>
      <c r="J18" s="24">
        <v>4.4</v>
      </c>
      <c r="K18" s="66">
        <f t="shared" si="3"/>
        <v>0</v>
      </c>
      <c r="L18" s="72">
        <v>4642</v>
      </c>
      <c r="M18" s="72">
        <f t="shared" si="4"/>
        <v>0</v>
      </c>
      <c r="N18" s="72">
        <f t="shared" si="7"/>
        <v>0</v>
      </c>
      <c r="O18" s="73">
        <f t="shared" si="8"/>
        <v>0</v>
      </c>
      <c r="P18" s="72">
        <v>0</v>
      </c>
      <c r="Q18" s="72">
        <f t="shared" si="5"/>
        <v>0</v>
      </c>
      <c r="R18" s="24">
        <v>6.87</v>
      </c>
      <c r="S18" s="73">
        <v>6970</v>
      </c>
      <c r="T18" s="73">
        <v>6800</v>
      </c>
      <c r="U18" s="73">
        <f t="shared" si="6"/>
        <v>30668</v>
      </c>
      <c r="V18" s="24" t="s">
        <v>841</v>
      </c>
      <c r="W18" s="24" t="s">
        <v>155</v>
      </c>
      <c r="X18" s="24" t="s">
        <v>820</v>
      </c>
      <c r="Y18" s="102"/>
      <c r="Z18" s="102"/>
      <c r="AA18" s="103"/>
      <c r="AB18" s="24"/>
      <c r="AC18" s="24"/>
      <c r="AD18" s="24"/>
      <c r="AE18" s="24"/>
      <c r="AF18" s="24"/>
      <c r="AG18" s="24"/>
      <c r="AH18" s="24"/>
    </row>
    <row r="19" s="34" customFormat="1" ht="12" customHeight="1" spans="1:34">
      <c r="A19" s="24" t="s">
        <v>150</v>
      </c>
      <c r="B19" s="24" t="s">
        <v>173</v>
      </c>
      <c r="C19" s="51" t="s">
        <v>839</v>
      </c>
      <c r="D19" s="24" t="s">
        <v>1088</v>
      </c>
      <c r="E19" s="71">
        <v>46125</v>
      </c>
      <c r="F19" s="24" t="s">
        <v>1077</v>
      </c>
      <c r="G19" s="24">
        <v>2.2</v>
      </c>
      <c r="H19" s="72">
        <v>1040</v>
      </c>
      <c r="I19" s="72">
        <f t="shared" si="2"/>
        <v>2288</v>
      </c>
      <c r="J19" s="24">
        <v>2.2</v>
      </c>
      <c r="K19" s="24">
        <f t="shared" si="3"/>
        <v>0</v>
      </c>
      <c r="L19" s="72">
        <v>2288</v>
      </c>
      <c r="M19" s="72">
        <f t="shared" si="4"/>
        <v>0</v>
      </c>
      <c r="N19" s="72">
        <f t="shared" si="7"/>
        <v>0</v>
      </c>
      <c r="O19" s="73">
        <f t="shared" si="8"/>
        <v>0</v>
      </c>
      <c r="P19" s="72">
        <v>0</v>
      </c>
      <c r="Q19" s="72">
        <f t="shared" si="5"/>
        <v>0</v>
      </c>
      <c r="R19" s="24">
        <v>6.87</v>
      </c>
      <c r="S19" s="73">
        <v>6867</v>
      </c>
      <c r="T19" s="73">
        <v>6700</v>
      </c>
      <c r="U19" s="73">
        <f t="shared" si="6"/>
        <v>15107.4</v>
      </c>
      <c r="V19" s="24" t="s">
        <v>841</v>
      </c>
      <c r="W19" s="24" t="s">
        <v>155</v>
      </c>
      <c r="X19" s="24" t="s">
        <v>820</v>
      </c>
      <c r="Y19" s="104"/>
      <c r="Z19" s="104"/>
      <c r="AA19" s="105"/>
      <c r="AB19" s="24"/>
      <c r="AC19" s="24"/>
      <c r="AD19" s="24"/>
      <c r="AE19" s="24"/>
      <c r="AF19" s="24"/>
      <c r="AG19" s="24"/>
      <c r="AH19" s="24"/>
    </row>
    <row r="20" s="34" customFormat="1" ht="13" customHeight="1" spans="1:34">
      <c r="A20" s="24" t="s">
        <v>193</v>
      </c>
      <c r="B20" s="24" t="s">
        <v>183</v>
      </c>
      <c r="C20" s="51" t="s">
        <v>1091</v>
      </c>
      <c r="D20" s="24" t="s">
        <v>1092</v>
      </c>
      <c r="E20" s="71">
        <v>46130</v>
      </c>
      <c r="F20" s="24" t="s">
        <v>1063</v>
      </c>
      <c r="G20" s="24">
        <v>15</v>
      </c>
      <c r="H20" s="72">
        <v>1575</v>
      </c>
      <c r="I20" s="72">
        <f t="shared" si="2"/>
        <v>23625</v>
      </c>
      <c r="J20" s="24">
        <v>15</v>
      </c>
      <c r="K20" s="24">
        <f t="shared" si="3"/>
        <v>0</v>
      </c>
      <c r="L20" s="72">
        <f>长科收款!E7</f>
        <v>23625</v>
      </c>
      <c r="M20" s="72">
        <f t="shared" si="4"/>
        <v>0</v>
      </c>
      <c r="N20" s="72">
        <f t="shared" si="7"/>
        <v>0</v>
      </c>
      <c r="O20" s="73">
        <f t="shared" si="8"/>
        <v>0</v>
      </c>
      <c r="P20" s="72">
        <v>0</v>
      </c>
      <c r="Q20" s="72">
        <f t="shared" si="5"/>
        <v>0</v>
      </c>
      <c r="R20" s="24">
        <v>6.86</v>
      </c>
      <c r="S20" s="73">
        <v>11500</v>
      </c>
      <c r="T20" s="73">
        <v>11300</v>
      </c>
      <c r="U20" s="73">
        <f t="shared" si="6"/>
        <v>172500</v>
      </c>
      <c r="V20" s="24" t="s">
        <v>1082</v>
      </c>
      <c r="W20" s="24" t="s">
        <v>155</v>
      </c>
      <c r="X20" s="24" t="s">
        <v>1093</v>
      </c>
      <c r="Y20" s="104">
        <v>400</v>
      </c>
      <c r="Z20" s="104">
        <v>26</v>
      </c>
      <c r="AA20" s="105">
        <v>5000</v>
      </c>
      <c r="AB20" s="24"/>
      <c r="AC20" s="24"/>
      <c r="AD20" s="24"/>
      <c r="AE20" s="24"/>
      <c r="AF20" s="24"/>
      <c r="AG20" s="24"/>
      <c r="AH20" s="24"/>
    </row>
    <row r="21" s="34" customFormat="1" ht="13" customHeight="1" spans="1:34">
      <c r="A21" s="24" t="s">
        <v>25</v>
      </c>
      <c r="B21" s="24" t="s">
        <v>809</v>
      </c>
      <c r="C21" s="51" t="s">
        <v>1094</v>
      </c>
      <c r="D21" s="24" t="s">
        <v>1095</v>
      </c>
      <c r="E21" s="71">
        <v>46142</v>
      </c>
      <c r="F21" s="24" t="s">
        <v>1059</v>
      </c>
      <c r="G21" s="24">
        <v>137.5</v>
      </c>
      <c r="H21" s="72">
        <v>1480</v>
      </c>
      <c r="I21" s="72">
        <f t="shared" si="2"/>
        <v>203500</v>
      </c>
      <c r="J21" s="24">
        <f>82.5+27.5+27.5</f>
        <v>137.5</v>
      </c>
      <c r="K21" s="24">
        <f t="shared" si="3"/>
        <v>0</v>
      </c>
      <c r="L21" s="72">
        <f>长科收款!E9+长科收款!E26+162800</f>
        <v>203500</v>
      </c>
      <c r="M21" s="72">
        <f t="shared" si="4"/>
        <v>0</v>
      </c>
      <c r="N21" s="72">
        <f t="shared" si="7"/>
        <v>0</v>
      </c>
      <c r="O21" s="73">
        <f t="shared" si="8"/>
        <v>0</v>
      </c>
      <c r="P21" s="72">
        <v>15</v>
      </c>
      <c r="Q21" s="72">
        <f t="shared" si="5"/>
        <v>2062.5</v>
      </c>
      <c r="R21" s="24">
        <v>6.8825</v>
      </c>
      <c r="S21" s="73">
        <v>10722</v>
      </c>
      <c r="T21" s="73">
        <v>10500</v>
      </c>
      <c r="U21" s="73">
        <f t="shared" si="6"/>
        <v>1474275</v>
      </c>
      <c r="V21" s="24" t="s">
        <v>1060</v>
      </c>
      <c r="W21" s="24" t="s">
        <v>155</v>
      </c>
      <c r="X21" s="24" t="s">
        <v>824</v>
      </c>
      <c r="Y21" s="104">
        <f>1530*5</f>
        <v>7650</v>
      </c>
      <c r="Z21" s="104">
        <f>41*5</f>
        <v>205</v>
      </c>
      <c r="AA21" s="105">
        <f>6500*5</f>
        <v>32500</v>
      </c>
      <c r="AB21" s="24"/>
      <c r="AC21" s="24"/>
      <c r="AD21" s="24"/>
      <c r="AE21" s="24"/>
      <c r="AF21" s="24"/>
      <c r="AG21" s="24"/>
      <c r="AH21" s="24"/>
    </row>
    <row r="22" s="34" customFormat="1" ht="13" customHeight="1" spans="1:34">
      <c r="A22" s="24" t="s">
        <v>25</v>
      </c>
      <c r="B22" s="24" t="s">
        <v>809</v>
      </c>
      <c r="C22" s="51" t="s">
        <v>1094</v>
      </c>
      <c r="D22" s="24" t="s">
        <v>1095</v>
      </c>
      <c r="E22" s="71">
        <v>46142</v>
      </c>
      <c r="F22" s="24" t="s">
        <v>1062</v>
      </c>
      <c r="G22" s="24">
        <v>55</v>
      </c>
      <c r="H22" s="72">
        <v>1480</v>
      </c>
      <c r="I22" s="72">
        <f t="shared" si="2"/>
        <v>81400</v>
      </c>
      <c r="J22" s="24">
        <v>55</v>
      </c>
      <c r="K22" s="24">
        <f t="shared" si="3"/>
        <v>0</v>
      </c>
      <c r="L22" s="72">
        <v>81400</v>
      </c>
      <c r="M22" s="72">
        <f t="shared" si="4"/>
        <v>0</v>
      </c>
      <c r="N22" s="72">
        <f t="shared" si="7"/>
        <v>0</v>
      </c>
      <c r="O22" s="73">
        <f t="shared" si="8"/>
        <v>0</v>
      </c>
      <c r="P22" s="72">
        <v>15</v>
      </c>
      <c r="Q22" s="72">
        <f t="shared" si="5"/>
        <v>825</v>
      </c>
      <c r="R22" s="24">
        <v>6.8825</v>
      </c>
      <c r="S22" s="73">
        <v>10722</v>
      </c>
      <c r="T22" s="73">
        <v>10500</v>
      </c>
      <c r="U22" s="73">
        <f t="shared" si="6"/>
        <v>589710</v>
      </c>
      <c r="V22" s="24" t="s">
        <v>1060</v>
      </c>
      <c r="W22" s="24" t="s">
        <v>155</v>
      </c>
      <c r="X22" s="24" t="s">
        <v>824</v>
      </c>
      <c r="Y22" s="104">
        <f>1530*2</f>
        <v>3060</v>
      </c>
      <c r="Z22" s="104">
        <f>41*2</f>
        <v>82</v>
      </c>
      <c r="AA22" s="105">
        <f>6500*2</f>
        <v>13000</v>
      </c>
      <c r="AB22" s="24"/>
      <c r="AC22" s="24"/>
      <c r="AD22" s="24"/>
      <c r="AE22" s="24"/>
      <c r="AF22" s="24"/>
      <c r="AG22" s="24"/>
      <c r="AH22" s="24"/>
    </row>
    <row r="23" s="34" customFormat="1" ht="13" customHeight="1" spans="1:34">
      <c r="A23" s="24" t="s">
        <v>37</v>
      </c>
      <c r="B23" s="24" t="s">
        <v>183</v>
      </c>
      <c r="C23" s="51" t="s">
        <v>1096</v>
      </c>
      <c r="D23" s="24" t="s">
        <v>1097</v>
      </c>
      <c r="E23" s="71">
        <v>46142</v>
      </c>
      <c r="F23" s="24" t="s">
        <v>1067</v>
      </c>
      <c r="G23" s="24">
        <v>270</v>
      </c>
      <c r="H23" s="72">
        <v>1540</v>
      </c>
      <c r="I23" s="72">
        <f t="shared" si="2"/>
        <v>415800</v>
      </c>
      <c r="J23" s="24">
        <f>54+54+108+54</f>
        <v>270</v>
      </c>
      <c r="K23" s="24">
        <f t="shared" si="3"/>
        <v>0</v>
      </c>
      <c r="L23" s="72">
        <f>长科收款!E10+长科收款!E12+长科收款!E15</f>
        <v>415800</v>
      </c>
      <c r="M23" s="72">
        <f t="shared" si="4"/>
        <v>0</v>
      </c>
      <c r="N23" s="72">
        <f t="shared" si="7"/>
        <v>0</v>
      </c>
      <c r="O23" s="73">
        <f t="shared" si="8"/>
        <v>0</v>
      </c>
      <c r="P23" s="72">
        <v>0</v>
      </c>
      <c r="Q23" s="72">
        <f t="shared" si="5"/>
        <v>0</v>
      </c>
      <c r="R23" s="24">
        <v>6.89</v>
      </c>
      <c r="S23" s="73">
        <v>11804</v>
      </c>
      <c r="T23" s="73">
        <v>10501</v>
      </c>
      <c r="U23" s="73">
        <f t="shared" si="6"/>
        <v>3187080</v>
      </c>
      <c r="V23" s="24" t="s">
        <v>1060</v>
      </c>
      <c r="W23" s="24" t="s">
        <v>190</v>
      </c>
      <c r="X23" s="24" t="s">
        <v>1072</v>
      </c>
      <c r="Y23" s="104">
        <v>0</v>
      </c>
      <c r="Z23" s="104">
        <v>0</v>
      </c>
      <c r="AA23" s="105">
        <f>5000*10</f>
        <v>50000</v>
      </c>
      <c r="AB23" s="24"/>
      <c r="AC23" s="24"/>
      <c r="AD23" s="24"/>
      <c r="AE23" s="24"/>
      <c r="AF23" s="24"/>
      <c r="AG23" s="24"/>
      <c r="AH23" s="24"/>
    </row>
    <row r="24" s="34" customFormat="1" ht="13" customHeight="1" spans="1:34">
      <c r="A24" s="24" t="s">
        <v>37</v>
      </c>
      <c r="B24" s="24" t="s">
        <v>809</v>
      </c>
      <c r="C24" s="51" t="s">
        <v>1098</v>
      </c>
      <c r="D24" s="24" t="s">
        <v>1099</v>
      </c>
      <c r="E24" s="71">
        <v>46138</v>
      </c>
      <c r="F24" s="24" t="s">
        <v>1064</v>
      </c>
      <c r="G24" s="24">
        <v>54</v>
      </c>
      <c r="H24" s="72">
        <v>1920</v>
      </c>
      <c r="I24" s="72">
        <f t="shared" si="2"/>
        <v>103680</v>
      </c>
      <c r="J24" s="24">
        <v>54</v>
      </c>
      <c r="K24" s="24">
        <f t="shared" si="3"/>
        <v>0</v>
      </c>
      <c r="L24" s="72">
        <f>长科收款!E49</f>
        <v>183680</v>
      </c>
      <c r="M24" s="72">
        <f t="shared" si="4"/>
        <v>-80000</v>
      </c>
      <c r="N24" s="72">
        <f t="shared" si="7"/>
        <v>-80000</v>
      </c>
      <c r="O24" s="73">
        <f t="shared" si="8"/>
        <v>-551200</v>
      </c>
      <c r="P24" s="72">
        <v>0</v>
      </c>
      <c r="Q24" s="72">
        <f t="shared" si="5"/>
        <v>0</v>
      </c>
      <c r="R24" s="24">
        <v>6.89</v>
      </c>
      <c r="S24" s="73">
        <v>14763</v>
      </c>
      <c r="T24" s="73">
        <v>14500</v>
      </c>
      <c r="U24" s="73">
        <f t="shared" si="6"/>
        <v>797202</v>
      </c>
      <c r="V24" s="24" t="s">
        <v>1060</v>
      </c>
      <c r="W24" s="24" t="s">
        <v>190</v>
      </c>
      <c r="X24" s="24" t="s">
        <v>1072</v>
      </c>
      <c r="Y24" s="104">
        <v>0</v>
      </c>
      <c r="Z24" s="104">
        <v>0</v>
      </c>
      <c r="AA24" s="105">
        <f>5000*2</f>
        <v>10000</v>
      </c>
      <c r="AB24" s="24"/>
      <c r="AC24" s="24"/>
      <c r="AD24" s="24"/>
      <c r="AE24" s="24"/>
      <c r="AF24" s="24"/>
      <c r="AG24" s="24"/>
      <c r="AH24" s="24"/>
    </row>
    <row r="25" s="34" customFormat="1" ht="13" customHeight="1" spans="1:34">
      <c r="A25" s="24" t="s">
        <v>37</v>
      </c>
      <c r="B25" s="24" t="s">
        <v>183</v>
      </c>
      <c r="C25" s="51" t="s">
        <v>1096</v>
      </c>
      <c r="D25" s="24" t="s">
        <v>1100</v>
      </c>
      <c r="E25" s="71">
        <v>46132</v>
      </c>
      <c r="F25" s="24" t="s">
        <v>1067</v>
      </c>
      <c r="G25" s="24">
        <v>81</v>
      </c>
      <c r="H25" s="72">
        <v>1510</v>
      </c>
      <c r="I25" s="72">
        <f t="shared" si="2"/>
        <v>122310</v>
      </c>
      <c r="J25" s="24">
        <v>81</v>
      </c>
      <c r="K25" s="24">
        <f t="shared" si="3"/>
        <v>0</v>
      </c>
      <c r="L25" s="72">
        <f>长科收款!E18</f>
        <v>122310</v>
      </c>
      <c r="M25" s="72">
        <f t="shared" si="4"/>
        <v>0</v>
      </c>
      <c r="N25" s="72">
        <f t="shared" si="7"/>
        <v>0</v>
      </c>
      <c r="O25" s="73">
        <f t="shared" si="8"/>
        <v>0</v>
      </c>
      <c r="P25" s="72">
        <v>0</v>
      </c>
      <c r="Q25" s="72">
        <f t="shared" si="5"/>
        <v>0</v>
      </c>
      <c r="R25" s="24">
        <v>6.89</v>
      </c>
      <c r="S25" s="73">
        <v>11570</v>
      </c>
      <c r="T25" s="73">
        <v>11300</v>
      </c>
      <c r="U25" s="73">
        <f t="shared" si="6"/>
        <v>937170</v>
      </c>
      <c r="V25" s="24" t="s">
        <v>1060</v>
      </c>
      <c r="W25" s="24" t="s">
        <v>190</v>
      </c>
      <c r="X25" s="24" t="s">
        <v>1072</v>
      </c>
      <c r="Y25" s="104">
        <v>0</v>
      </c>
      <c r="Z25" s="104">
        <v>0</v>
      </c>
      <c r="AA25" s="105">
        <v>5000</v>
      </c>
      <c r="AB25" s="24"/>
      <c r="AC25" s="24"/>
      <c r="AD25" s="24"/>
      <c r="AE25" s="24"/>
      <c r="AF25" s="24"/>
      <c r="AG25" s="24"/>
      <c r="AH25" s="24"/>
    </row>
    <row r="26" s="34" customFormat="1" ht="13" customHeight="1" spans="1:34">
      <c r="A26" s="24" t="s">
        <v>37</v>
      </c>
      <c r="B26" s="24" t="s">
        <v>183</v>
      </c>
      <c r="C26" s="51" t="s">
        <v>1096</v>
      </c>
      <c r="D26" s="24" t="s">
        <v>1101</v>
      </c>
      <c r="E26" s="71">
        <v>46178</v>
      </c>
      <c r="F26" s="24" t="s">
        <v>1067</v>
      </c>
      <c r="G26" s="24">
        <v>999</v>
      </c>
      <c r="H26" s="72">
        <v>1535</v>
      </c>
      <c r="I26" s="72">
        <f t="shared" si="2"/>
        <v>1533465</v>
      </c>
      <c r="J26" s="24">
        <f>297+27+27+27+27</f>
        <v>405</v>
      </c>
      <c r="K26" s="24">
        <f t="shared" si="3"/>
        <v>594</v>
      </c>
      <c r="L26" s="80">
        <f>414449.5+长科收款!E25+长科收款!E51+长科收款!E64+长科收款!E68+长科收款!E92</f>
        <v>750126</v>
      </c>
      <c r="M26" s="80">
        <f t="shared" si="4"/>
        <v>783339</v>
      </c>
      <c r="N26" s="80">
        <f t="shared" si="7"/>
        <v>-128451</v>
      </c>
      <c r="O26" s="81">
        <f t="shared" si="8"/>
        <v>-886311.9</v>
      </c>
      <c r="P26" s="72">
        <v>0</v>
      </c>
      <c r="Q26" s="72">
        <f t="shared" si="5"/>
        <v>0</v>
      </c>
      <c r="R26" s="24">
        <v>6.9</v>
      </c>
      <c r="S26" s="73">
        <v>11812</v>
      </c>
      <c r="T26" s="73">
        <v>11800</v>
      </c>
      <c r="U26" s="73">
        <f t="shared" si="6"/>
        <v>11800188</v>
      </c>
      <c r="V26" s="24" t="s">
        <v>1060</v>
      </c>
      <c r="W26" s="24" t="s">
        <v>190</v>
      </c>
      <c r="X26" s="24" t="s">
        <v>1072</v>
      </c>
      <c r="Y26" s="104">
        <v>0</v>
      </c>
      <c r="Z26" s="104">
        <v>0</v>
      </c>
      <c r="AA26" s="105">
        <f>4200*37</f>
        <v>155400</v>
      </c>
      <c r="AB26" s="24"/>
      <c r="AC26" s="24"/>
      <c r="AD26" s="24"/>
      <c r="AE26" s="24"/>
      <c r="AF26" s="24"/>
      <c r="AG26" s="24"/>
      <c r="AH26" s="24"/>
    </row>
    <row r="27" s="34" customFormat="1" ht="13" customHeight="1" spans="1:34">
      <c r="A27" s="24" t="s">
        <v>201</v>
      </c>
      <c r="B27" s="24" t="s">
        <v>173</v>
      </c>
      <c r="C27" s="51" t="s">
        <v>1073</v>
      </c>
      <c r="D27" s="24" t="s">
        <v>1102</v>
      </c>
      <c r="E27" s="71">
        <v>46142</v>
      </c>
      <c r="F27" s="24" t="s">
        <v>1067</v>
      </c>
      <c r="G27" s="24">
        <v>27.5</v>
      </c>
      <c r="H27" s="72">
        <v>1580</v>
      </c>
      <c r="I27" s="72">
        <f t="shared" si="2"/>
        <v>43450</v>
      </c>
      <c r="J27" s="24">
        <v>27.5</v>
      </c>
      <c r="K27" s="24">
        <f t="shared" si="3"/>
        <v>0</v>
      </c>
      <c r="L27" s="72">
        <f>长科收款!E14+长科收款!E22</f>
        <v>43450</v>
      </c>
      <c r="M27" s="72">
        <f t="shared" si="4"/>
        <v>0</v>
      </c>
      <c r="N27" s="72">
        <f t="shared" si="7"/>
        <v>0</v>
      </c>
      <c r="O27" s="73">
        <f t="shared" si="8"/>
        <v>0</v>
      </c>
      <c r="P27" s="72">
        <v>0</v>
      </c>
      <c r="Q27" s="72">
        <f t="shared" si="5"/>
        <v>0</v>
      </c>
      <c r="R27" s="24">
        <v>6.8931</v>
      </c>
      <c r="S27" s="73">
        <v>11955</v>
      </c>
      <c r="T27" s="73">
        <v>11800</v>
      </c>
      <c r="U27" s="73">
        <f t="shared" si="6"/>
        <v>328762.5</v>
      </c>
      <c r="V27" s="24" t="s">
        <v>1060</v>
      </c>
      <c r="W27" s="24" t="s">
        <v>155</v>
      </c>
      <c r="X27" s="24" t="s">
        <v>198</v>
      </c>
      <c r="Y27" s="104">
        <v>550</v>
      </c>
      <c r="Z27" s="104">
        <v>48</v>
      </c>
      <c r="AA27" s="105">
        <v>5000</v>
      </c>
      <c r="AB27" s="24"/>
      <c r="AC27" s="24"/>
      <c r="AD27" s="24"/>
      <c r="AE27" s="24"/>
      <c r="AF27" s="24"/>
      <c r="AG27" s="24"/>
      <c r="AH27" s="24"/>
    </row>
    <row r="28" s="34" customFormat="1" ht="13" customHeight="1" spans="1:34">
      <c r="A28" s="24" t="s">
        <v>150</v>
      </c>
      <c r="B28" s="24" t="s">
        <v>809</v>
      </c>
      <c r="C28" s="51" t="s">
        <v>1098</v>
      </c>
      <c r="D28" s="24" t="s">
        <v>1103</v>
      </c>
      <c r="E28" s="71">
        <v>46150</v>
      </c>
      <c r="F28" s="24" t="s">
        <v>1064</v>
      </c>
      <c r="G28" s="24">
        <v>81</v>
      </c>
      <c r="H28" s="72">
        <v>2155</v>
      </c>
      <c r="I28" s="72">
        <f t="shared" si="2"/>
        <v>174555</v>
      </c>
      <c r="J28" s="24">
        <v>81</v>
      </c>
      <c r="K28" s="24">
        <f t="shared" si="3"/>
        <v>0</v>
      </c>
      <c r="L28" s="72">
        <f>长科收款!E70</f>
        <v>174555</v>
      </c>
      <c r="M28" s="72">
        <f t="shared" si="4"/>
        <v>0</v>
      </c>
      <c r="N28" s="72">
        <f t="shared" si="7"/>
        <v>0</v>
      </c>
      <c r="O28" s="73">
        <f t="shared" si="8"/>
        <v>0</v>
      </c>
      <c r="P28" s="72">
        <v>0</v>
      </c>
      <c r="Q28" s="72">
        <f t="shared" si="5"/>
        <v>0</v>
      </c>
      <c r="R28" s="24">
        <v>6.82</v>
      </c>
      <c r="S28" s="73">
        <v>16441</v>
      </c>
      <c r="T28" s="73"/>
      <c r="U28" s="73">
        <f t="shared" si="6"/>
        <v>1331721</v>
      </c>
      <c r="V28" s="24" t="s">
        <v>1060</v>
      </c>
      <c r="W28" s="24" t="s">
        <v>190</v>
      </c>
      <c r="X28" s="24" t="s">
        <v>1072</v>
      </c>
      <c r="Y28" s="104">
        <v>0</v>
      </c>
      <c r="Z28" s="104">
        <v>0</v>
      </c>
      <c r="AA28" s="105">
        <f>3*4500</f>
        <v>13500</v>
      </c>
      <c r="AB28" s="24"/>
      <c r="AC28" s="24"/>
      <c r="AD28" s="24"/>
      <c r="AE28" s="24"/>
      <c r="AF28" s="24"/>
      <c r="AG28" s="24"/>
      <c r="AH28" s="24"/>
    </row>
    <row r="29" s="34" customFormat="1" ht="13" customHeight="1" spans="1:34">
      <c r="A29" s="24" t="s">
        <v>150</v>
      </c>
      <c r="B29" s="24" t="s">
        <v>183</v>
      </c>
      <c r="C29" s="51" t="s">
        <v>847</v>
      </c>
      <c r="D29" s="24" t="s">
        <v>1104</v>
      </c>
      <c r="E29" s="71">
        <v>46151</v>
      </c>
      <c r="F29" s="24" t="s">
        <v>1063</v>
      </c>
      <c r="G29" s="24">
        <v>27</v>
      </c>
      <c r="H29" s="72">
        <v>1790</v>
      </c>
      <c r="I29" s="72">
        <f t="shared" si="2"/>
        <v>48330</v>
      </c>
      <c r="J29" s="24">
        <v>27</v>
      </c>
      <c r="K29" s="24">
        <f t="shared" si="3"/>
        <v>0</v>
      </c>
      <c r="L29" s="72">
        <f>长科收款!E20</f>
        <v>48283</v>
      </c>
      <c r="M29" s="72">
        <f t="shared" si="4"/>
        <v>47</v>
      </c>
      <c r="N29" s="72">
        <f t="shared" si="7"/>
        <v>47</v>
      </c>
      <c r="O29" s="73">
        <f t="shared" si="8"/>
        <v>320.54</v>
      </c>
      <c r="P29" s="72">
        <v>30</v>
      </c>
      <c r="Q29" s="72">
        <f t="shared" si="5"/>
        <v>810</v>
      </c>
      <c r="R29" s="24">
        <v>6.82</v>
      </c>
      <c r="S29" s="73">
        <v>12203</v>
      </c>
      <c r="T29" s="73">
        <v>12200</v>
      </c>
      <c r="U29" s="73">
        <f t="shared" si="6"/>
        <v>329481</v>
      </c>
      <c r="V29" s="24" t="s">
        <v>1082</v>
      </c>
      <c r="W29" s="24" t="s">
        <v>155</v>
      </c>
      <c r="X29" s="24" t="s">
        <v>851</v>
      </c>
      <c r="Y29" s="104">
        <f>3700</f>
        <v>3700</v>
      </c>
      <c r="Z29" s="104">
        <f>50</f>
        <v>50</v>
      </c>
      <c r="AA29" s="105">
        <v>4500</v>
      </c>
      <c r="AB29" s="24"/>
      <c r="AC29" s="24"/>
      <c r="AD29" s="24"/>
      <c r="AE29" s="24"/>
      <c r="AF29" s="24"/>
      <c r="AG29" s="24"/>
      <c r="AH29" s="24"/>
    </row>
    <row r="30" s="34" customFormat="1" ht="13" customHeight="1" spans="1:34">
      <c r="A30" s="24" t="s">
        <v>25</v>
      </c>
      <c r="B30" s="24" t="s">
        <v>1105</v>
      </c>
      <c r="C30" s="51" t="s">
        <v>1106</v>
      </c>
      <c r="D30" s="24" t="s">
        <v>1107</v>
      </c>
      <c r="E30" s="71">
        <v>46158</v>
      </c>
      <c r="F30" s="24" t="s">
        <v>1067</v>
      </c>
      <c r="G30" s="24">
        <v>55</v>
      </c>
      <c r="H30" s="72">
        <v>1660</v>
      </c>
      <c r="I30" s="72">
        <f t="shared" si="2"/>
        <v>91300</v>
      </c>
      <c r="J30" s="24">
        <f>27.5+27.5</f>
        <v>55</v>
      </c>
      <c r="K30" s="24">
        <f t="shared" si="3"/>
        <v>0</v>
      </c>
      <c r="L30" s="72">
        <f>长科收款!E37</f>
        <v>91300</v>
      </c>
      <c r="M30" s="72">
        <f t="shared" si="4"/>
        <v>0</v>
      </c>
      <c r="N30" s="72">
        <f t="shared" si="7"/>
        <v>0</v>
      </c>
      <c r="O30" s="73">
        <f t="shared" si="8"/>
        <v>0</v>
      </c>
      <c r="P30" s="72">
        <v>0</v>
      </c>
      <c r="Q30" s="72">
        <f t="shared" si="5"/>
        <v>0</v>
      </c>
      <c r="R30" s="24">
        <v>6.8</v>
      </c>
      <c r="S30" s="73">
        <v>12193</v>
      </c>
      <c r="T30" s="73">
        <v>11800</v>
      </c>
      <c r="U30" s="73">
        <f t="shared" si="6"/>
        <v>670615</v>
      </c>
      <c r="V30" s="24" t="s">
        <v>1060</v>
      </c>
      <c r="W30" s="24" t="s">
        <v>155</v>
      </c>
      <c r="X30" s="24" t="s">
        <v>1108</v>
      </c>
      <c r="Y30" s="104">
        <f>2*1310</f>
        <v>2620</v>
      </c>
      <c r="Z30" s="104">
        <f>2*50</f>
        <v>100</v>
      </c>
      <c r="AA30" s="105">
        <f>2*5000</f>
        <v>10000</v>
      </c>
      <c r="AB30" s="24"/>
      <c r="AC30" s="24"/>
      <c r="AD30" s="24"/>
      <c r="AE30" s="24"/>
      <c r="AF30" s="24"/>
      <c r="AG30" s="24"/>
      <c r="AH30" s="24"/>
    </row>
    <row r="31" s="61" customFormat="1" ht="13" customHeight="1" spans="1:34">
      <c r="A31" s="66" t="s">
        <v>37</v>
      </c>
      <c r="B31" s="66" t="s">
        <v>183</v>
      </c>
      <c r="C31" s="67" t="s">
        <v>1109</v>
      </c>
      <c r="D31" s="66" t="s">
        <v>1110</v>
      </c>
      <c r="E31" s="68">
        <v>46158</v>
      </c>
      <c r="F31" s="66" t="s">
        <v>1064</v>
      </c>
      <c r="G31" s="66">
        <v>15</v>
      </c>
      <c r="H31" s="69">
        <v>2060</v>
      </c>
      <c r="I31" s="69">
        <f t="shared" si="2"/>
        <v>30900</v>
      </c>
      <c r="J31" s="66">
        <v>0</v>
      </c>
      <c r="K31" s="66">
        <f t="shared" si="3"/>
        <v>15</v>
      </c>
      <c r="L31" s="69">
        <v>0</v>
      </c>
      <c r="M31" s="69">
        <f t="shared" si="4"/>
        <v>30900</v>
      </c>
      <c r="N31" s="69">
        <f t="shared" si="7"/>
        <v>0</v>
      </c>
      <c r="O31" s="78">
        <f t="shared" si="8"/>
        <v>0</v>
      </c>
      <c r="P31" s="69">
        <v>0</v>
      </c>
      <c r="Q31" s="69">
        <f t="shared" si="5"/>
        <v>0</v>
      </c>
      <c r="R31" s="66">
        <v>6.8</v>
      </c>
      <c r="S31" s="78">
        <v>15659</v>
      </c>
      <c r="T31" s="78"/>
      <c r="U31" s="78">
        <f t="shared" si="6"/>
        <v>234885</v>
      </c>
      <c r="V31" s="66" t="s">
        <v>1082</v>
      </c>
      <c r="W31" s="66" t="s">
        <v>168</v>
      </c>
      <c r="X31" s="66" t="s">
        <v>169</v>
      </c>
      <c r="Y31" s="96">
        <v>0</v>
      </c>
      <c r="Z31" s="96">
        <v>0</v>
      </c>
      <c r="AA31" s="97">
        <v>0</v>
      </c>
      <c r="AB31" s="66"/>
      <c r="AC31" s="66"/>
      <c r="AD31" s="66"/>
      <c r="AE31" s="66"/>
      <c r="AF31" s="66"/>
      <c r="AG31" s="66"/>
      <c r="AH31" s="66"/>
    </row>
    <row r="32" s="34" customFormat="1" ht="13" customHeight="1" spans="1:34">
      <c r="A32" s="24" t="s">
        <v>25</v>
      </c>
      <c r="B32" s="24" t="s">
        <v>809</v>
      </c>
      <c r="C32" s="51" t="s">
        <v>1111</v>
      </c>
      <c r="D32" s="24" t="s">
        <v>1112</v>
      </c>
      <c r="E32" s="71">
        <v>46178</v>
      </c>
      <c r="F32" s="24" t="s">
        <v>1067</v>
      </c>
      <c r="G32" s="24">
        <v>27.5</v>
      </c>
      <c r="H32" s="72">
        <v>1610</v>
      </c>
      <c r="I32" s="72">
        <f t="shared" si="2"/>
        <v>44275</v>
      </c>
      <c r="J32" s="24">
        <v>27.5</v>
      </c>
      <c r="K32" s="24">
        <f t="shared" si="3"/>
        <v>0</v>
      </c>
      <c r="L32" s="72">
        <f>长科收款!E73</f>
        <v>44275</v>
      </c>
      <c r="M32" s="72">
        <f t="shared" si="4"/>
        <v>0</v>
      </c>
      <c r="N32" s="72">
        <f t="shared" si="7"/>
        <v>0</v>
      </c>
      <c r="O32" s="73">
        <f t="shared" si="8"/>
        <v>0</v>
      </c>
      <c r="P32" s="72">
        <v>10</v>
      </c>
      <c r="Q32" s="72">
        <f t="shared" si="5"/>
        <v>275</v>
      </c>
      <c r="R32" s="24">
        <v>6.8229</v>
      </c>
      <c r="S32" s="73">
        <v>11794</v>
      </c>
      <c r="T32" s="73">
        <v>11600</v>
      </c>
      <c r="U32" s="73">
        <f t="shared" si="6"/>
        <v>324335</v>
      </c>
      <c r="V32" s="24" t="s">
        <v>1060</v>
      </c>
      <c r="W32" s="24" t="s">
        <v>155</v>
      </c>
      <c r="X32" s="24" t="s">
        <v>824</v>
      </c>
      <c r="Y32" s="104">
        <v>1300</v>
      </c>
      <c r="Z32" s="104">
        <v>49</v>
      </c>
      <c r="AA32" s="105">
        <v>5000</v>
      </c>
      <c r="AB32" s="24"/>
      <c r="AC32" s="24"/>
      <c r="AD32" s="24"/>
      <c r="AE32" s="24"/>
      <c r="AF32" s="24"/>
      <c r="AG32" s="24"/>
      <c r="AH32" s="24"/>
    </row>
    <row r="33" s="34" customFormat="1" ht="11" customHeight="1" spans="1:34">
      <c r="A33" s="24" t="s">
        <v>193</v>
      </c>
      <c r="B33" s="24" t="s">
        <v>183</v>
      </c>
      <c r="C33" s="51" t="s">
        <v>1083</v>
      </c>
      <c r="D33" s="24" t="s">
        <v>1113</v>
      </c>
      <c r="E33" s="71">
        <v>46181</v>
      </c>
      <c r="F33" s="24" t="s">
        <v>1064</v>
      </c>
      <c r="G33" s="24">
        <v>27.5</v>
      </c>
      <c r="H33" s="72">
        <v>1960</v>
      </c>
      <c r="I33" s="72">
        <f t="shared" si="2"/>
        <v>53900</v>
      </c>
      <c r="J33" s="24">
        <v>27.5</v>
      </c>
      <c r="K33" s="24">
        <f t="shared" si="3"/>
        <v>0</v>
      </c>
      <c r="L33" s="72">
        <v>53900</v>
      </c>
      <c r="M33" s="72">
        <f t="shared" si="4"/>
        <v>0</v>
      </c>
      <c r="N33" s="72">
        <f t="shared" si="7"/>
        <v>0</v>
      </c>
      <c r="O33" s="73">
        <f t="shared" si="8"/>
        <v>0</v>
      </c>
      <c r="P33" s="72">
        <v>0</v>
      </c>
      <c r="Q33" s="72">
        <f t="shared" si="5"/>
        <v>0</v>
      </c>
      <c r="R33" s="24">
        <v>6.79</v>
      </c>
      <c r="S33" s="73">
        <v>15038</v>
      </c>
      <c r="T33" s="73">
        <v>15000</v>
      </c>
      <c r="U33" s="73">
        <f t="shared" si="6"/>
        <v>413545</v>
      </c>
      <c r="V33" s="24" t="s">
        <v>1060</v>
      </c>
      <c r="W33" s="24" t="s">
        <v>168</v>
      </c>
      <c r="X33" s="24" t="s">
        <v>169</v>
      </c>
      <c r="Y33" s="104">
        <v>0</v>
      </c>
      <c r="Z33" s="104">
        <v>0</v>
      </c>
      <c r="AA33" s="105">
        <v>0</v>
      </c>
      <c r="AB33" s="24"/>
      <c r="AC33" s="24"/>
      <c r="AD33" s="24"/>
      <c r="AE33" s="24"/>
      <c r="AF33" s="24"/>
      <c r="AG33" s="24"/>
      <c r="AH33" s="24"/>
    </row>
    <row r="34" s="34" customFormat="1" ht="11" customHeight="1" spans="1:34">
      <c r="A34" s="24" t="s">
        <v>193</v>
      </c>
      <c r="B34" s="24" t="s">
        <v>183</v>
      </c>
      <c r="C34" s="51" t="s">
        <v>1091</v>
      </c>
      <c r="D34" s="24" t="s">
        <v>1114</v>
      </c>
      <c r="E34" s="71">
        <v>46188</v>
      </c>
      <c r="F34" s="24" t="s">
        <v>1063</v>
      </c>
      <c r="G34" s="24">
        <v>15</v>
      </c>
      <c r="H34" s="72">
        <v>1540</v>
      </c>
      <c r="I34" s="72">
        <f t="shared" si="2"/>
        <v>23100</v>
      </c>
      <c r="J34" s="24">
        <v>15</v>
      </c>
      <c r="K34" s="24">
        <f t="shared" si="3"/>
        <v>0</v>
      </c>
      <c r="L34" s="72">
        <f>长科收款!E29</f>
        <v>23100</v>
      </c>
      <c r="M34" s="72">
        <f t="shared" si="4"/>
        <v>0</v>
      </c>
      <c r="N34" s="72">
        <f t="shared" si="7"/>
        <v>0</v>
      </c>
      <c r="O34" s="73">
        <f t="shared" si="8"/>
        <v>0</v>
      </c>
      <c r="P34" s="72">
        <v>1</v>
      </c>
      <c r="Q34" s="72">
        <f t="shared" si="5"/>
        <v>15</v>
      </c>
      <c r="R34" s="24">
        <v>6.78</v>
      </c>
      <c r="S34" s="73">
        <v>11123</v>
      </c>
      <c r="T34" s="73">
        <v>11000</v>
      </c>
      <c r="U34" s="73">
        <f t="shared" si="6"/>
        <v>166845</v>
      </c>
      <c r="V34" s="24" t="s">
        <v>1082</v>
      </c>
      <c r="W34" s="24" t="s">
        <v>155</v>
      </c>
      <c r="X34" s="24" t="s">
        <v>1093</v>
      </c>
      <c r="Y34" s="104">
        <v>350</v>
      </c>
      <c r="Z34" s="104">
        <v>26</v>
      </c>
      <c r="AA34" s="105">
        <v>5000</v>
      </c>
      <c r="AB34" s="24"/>
      <c r="AC34" s="24"/>
      <c r="AD34" s="24"/>
      <c r="AE34" s="24"/>
      <c r="AF34" s="24"/>
      <c r="AG34" s="24"/>
      <c r="AH34" s="24"/>
    </row>
    <row r="35" s="34" customFormat="1" ht="14" customHeight="1" spans="1:34">
      <c r="A35" s="24" t="s">
        <v>37</v>
      </c>
      <c r="B35" s="24" t="s">
        <v>183</v>
      </c>
      <c r="C35" s="51" t="s">
        <v>1115</v>
      </c>
      <c r="D35" s="24" t="s">
        <v>1116</v>
      </c>
      <c r="E35" s="71">
        <v>46187</v>
      </c>
      <c r="F35" s="24" t="s">
        <v>1067</v>
      </c>
      <c r="G35" s="24">
        <v>56</v>
      </c>
      <c r="H35" s="73">
        <v>12150</v>
      </c>
      <c r="I35" s="73">
        <f t="shared" si="2"/>
        <v>680400</v>
      </c>
      <c r="J35" s="24">
        <v>56</v>
      </c>
      <c r="K35" s="24">
        <f t="shared" si="3"/>
        <v>0</v>
      </c>
      <c r="L35" s="73">
        <f>长科收款!E27</f>
        <v>680400</v>
      </c>
      <c r="M35" s="73">
        <f t="shared" si="4"/>
        <v>0</v>
      </c>
      <c r="N35" s="73">
        <f t="shared" si="7"/>
        <v>0</v>
      </c>
      <c r="O35" s="73">
        <f t="shared" si="8"/>
        <v>0</v>
      </c>
      <c r="P35" s="73">
        <v>0</v>
      </c>
      <c r="Q35" s="73">
        <f t="shared" si="5"/>
        <v>0</v>
      </c>
      <c r="R35" s="24">
        <v>1</v>
      </c>
      <c r="S35" s="73">
        <v>11910</v>
      </c>
      <c r="T35" s="73">
        <v>11900</v>
      </c>
      <c r="U35" s="73">
        <f t="shared" si="6"/>
        <v>666960</v>
      </c>
      <c r="V35" s="24" t="s">
        <v>1060</v>
      </c>
      <c r="W35" s="24" t="s">
        <v>39</v>
      </c>
      <c r="X35" s="24" t="s">
        <v>1117</v>
      </c>
      <c r="Y35" s="104"/>
      <c r="Z35" s="104"/>
      <c r="AA35" s="105"/>
      <c r="AB35" s="73">
        <v>240</v>
      </c>
      <c r="AC35" s="24"/>
      <c r="AD35" s="24"/>
      <c r="AE35" s="24"/>
      <c r="AF35" s="24"/>
      <c r="AG35" s="24"/>
      <c r="AH35" s="24"/>
    </row>
    <row r="36" s="34" customFormat="1" ht="11" customHeight="1" spans="1:34">
      <c r="A36" s="24" t="s">
        <v>150</v>
      </c>
      <c r="B36" s="24" t="s">
        <v>183</v>
      </c>
      <c r="C36" s="51" t="s">
        <v>847</v>
      </c>
      <c r="D36" s="24" t="s">
        <v>1118</v>
      </c>
      <c r="E36" s="71">
        <v>46191</v>
      </c>
      <c r="F36" s="24" t="s">
        <v>1063</v>
      </c>
      <c r="G36" s="24">
        <v>27</v>
      </c>
      <c r="H36" s="72">
        <v>1700</v>
      </c>
      <c r="I36" s="72">
        <f t="shared" si="2"/>
        <v>45900</v>
      </c>
      <c r="J36" s="24">
        <v>27</v>
      </c>
      <c r="K36" s="24">
        <f t="shared" si="3"/>
        <v>0</v>
      </c>
      <c r="L36" s="72">
        <f>长科收款!E31</f>
        <v>45900</v>
      </c>
      <c r="M36" s="72">
        <f t="shared" si="4"/>
        <v>0</v>
      </c>
      <c r="N36" s="72">
        <f t="shared" si="7"/>
        <v>0</v>
      </c>
      <c r="O36" s="73">
        <f t="shared" si="8"/>
        <v>0</v>
      </c>
      <c r="P36" s="72">
        <v>30</v>
      </c>
      <c r="Q36" s="72">
        <f t="shared" si="5"/>
        <v>810</v>
      </c>
      <c r="R36" s="24">
        <v>6.8</v>
      </c>
      <c r="S36" s="73">
        <v>11086</v>
      </c>
      <c r="T36" s="73">
        <v>10800</v>
      </c>
      <c r="U36" s="73">
        <f t="shared" si="6"/>
        <v>299322</v>
      </c>
      <c r="V36" s="24" t="s">
        <v>1082</v>
      </c>
      <c r="W36" s="24" t="s">
        <v>155</v>
      </c>
      <c r="X36" s="24" t="s">
        <v>851</v>
      </c>
      <c r="Y36" s="104">
        <v>5000</v>
      </c>
      <c r="Z36" s="104">
        <v>50</v>
      </c>
      <c r="AA36" s="105">
        <v>5000</v>
      </c>
      <c r="AB36" s="24"/>
      <c r="AC36" s="24"/>
      <c r="AD36" s="24"/>
      <c r="AE36" s="24"/>
      <c r="AF36" s="24"/>
      <c r="AG36" s="24"/>
      <c r="AH36" s="24"/>
    </row>
    <row r="37" s="34" customFormat="1" ht="11" customHeight="1" spans="1:34">
      <c r="A37" s="24" t="s">
        <v>37</v>
      </c>
      <c r="B37" s="24" t="s">
        <v>183</v>
      </c>
      <c r="C37" s="51" t="s">
        <v>842</v>
      </c>
      <c r="D37" s="24" t="s">
        <v>1119</v>
      </c>
      <c r="E37" s="68">
        <v>46244</v>
      </c>
      <c r="F37" s="24" t="s">
        <v>1086</v>
      </c>
      <c r="G37" s="24">
        <v>540</v>
      </c>
      <c r="H37" s="72">
        <v>895</v>
      </c>
      <c r="I37" s="72">
        <f t="shared" si="2"/>
        <v>483300</v>
      </c>
      <c r="J37" s="24">
        <f>360+80+100</f>
        <v>540</v>
      </c>
      <c r="K37" s="24">
        <f t="shared" si="3"/>
        <v>0</v>
      </c>
      <c r="L37" s="72">
        <f>长科收款!E38+长科收款!E41+89500</f>
        <v>483300</v>
      </c>
      <c r="M37" s="72">
        <f t="shared" si="4"/>
        <v>0</v>
      </c>
      <c r="N37" s="72">
        <f t="shared" si="7"/>
        <v>0</v>
      </c>
      <c r="O37" s="73">
        <f t="shared" si="8"/>
        <v>0</v>
      </c>
      <c r="P37" s="72">
        <v>0</v>
      </c>
      <c r="Q37" s="72">
        <f t="shared" si="5"/>
        <v>0</v>
      </c>
      <c r="R37" s="24">
        <v>6.79</v>
      </c>
      <c r="S37" s="73">
        <v>6077</v>
      </c>
      <c r="T37" s="73">
        <v>6000</v>
      </c>
      <c r="U37" s="73">
        <f t="shared" si="6"/>
        <v>3281580</v>
      </c>
      <c r="V37" s="24" t="s">
        <v>845</v>
      </c>
      <c r="W37" s="24" t="s">
        <v>168</v>
      </c>
      <c r="X37" s="24" t="s">
        <v>169</v>
      </c>
      <c r="Y37" s="104">
        <v>0</v>
      </c>
      <c r="Z37" s="104">
        <v>0</v>
      </c>
      <c r="AA37" s="105">
        <v>0</v>
      </c>
      <c r="AB37" s="24"/>
      <c r="AC37" s="24"/>
      <c r="AD37" s="24"/>
      <c r="AE37" s="24"/>
      <c r="AF37" s="24"/>
      <c r="AG37" s="24"/>
      <c r="AH37" s="24"/>
    </row>
    <row r="38" s="34" customFormat="1" ht="11" customHeight="1" spans="1:34">
      <c r="A38" s="24" t="s">
        <v>37</v>
      </c>
      <c r="B38" s="24" t="s">
        <v>183</v>
      </c>
      <c r="C38" s="51" t="s">
        <v>842</v>
      </c>
      <c r="D38" s="24" t="s">
        <v>1119</v>
      </c>
      <c r="E38" s="68">
        <v>46244</v>
      </c>
      <c r="F38" s="24" t="s">
        <v>1079</v>
      </c>
      <c r="G38" s="24">
        <v>0.002</v>
      </c>
      <c r="H38" s="72">
        <v>1055</v>
      </c>
      <c r="I38" s="72">
        <f t="shared" si="2"/>
        <v>2.11</v>
      </c>
      <c r="J38" s="24">
        <v>0.002</v>
      </c>
      <c r="K38" s="24">
        <f t="shared" si="3"/>
        <v>0</v>
      </c>
      <c r="L38" s="72">
        <v>2.11</v>
      </c>
      <c r="M38" s="72">
        <f t="shared" si="4"/>
        <v>0</v>
      </c>
      <c r="N38" s="72">
        <f t="shared" si="7"/>
        <v>0</v>
      </c>
      <c r="O38" s="73">
        <f t="shared" si="8"/>
        <v>0</v>
      </c>
      <c r="P38" s="72">
        <v>0</v>
      </c>
      <c r="Q38" s="72">
        <f t="shared" si="5"/>
        <v>0</v>
      </c>
      <c r="R38" s="24"/>
      <c r="S38" s="73">
        <v>7120</v>
      </c>
      <c r="T38" s="73">
        <v>7100</v>
      </c>
      <c r="U38" s="73">
        <f t="shared" si="6"/>
        <v>14.24</v>
      </c>
      <c r="W38" s="24" t="s">
        <v>168</v>
      </c>
      <c r="X38" s="24" t="s">
        <v>169</v>
      </c>
      <c r="Y38" s="104">
        <v>0</v>
      </c>
      <c r="Z38" s="104">
        <v>0</v>
      </c>
      <c r="AA38" s="105">
        <v>0</v>
      </c>
      <c r="AB38" s="24"/>
      <c r="AC38" s="24"/>
      <c r="AD38" s="24"/>
      <c r="AE38" s="24"/>
      <c r="AF38" s="24"/>
      <c r="AG38" s="24"/>
      <c r="AH38" s="24"/>
    </row>
    <row r="39" s="34" customFormat="1" ht="11" customHeight="1" spans="1:34">
      <c r="A39" s="24" t="s">
        <v>37</v>
      </c>
      <c r="B39" s="24" t="s">
        <v>183</v>
      </c>
      <c r="C39" s="51" t="s">
        <v>842</v>
      </c>
      <c r="D39" s="24" t="s">
        <v>1120</v>
      </c>
      <c r="E39" s="71">
        <v>46188</v>
      </c>
      <c r="F39" s="24" t="s">
        <v>1086</v>
      </c>
      <c r="G39" s="24">
        <v>120</v>
      </c>
      <c r="H39" s="72">
        <v>1055</v>
      </c>
      <c r="I39" s="72">
        <f t="shared" ref="I39:I62" si="9">G39*H39</f>
        <v>126600</v>
      </c>
      <c r="J39" s="24">
        <v>120</v>
      </c>
      <c r="K39" s="24">
        <f t="shared" ref="K39:K62" si="10">G39-J39</f>
        <v>0</v>
      </c>
      <c r="L39" s="72">
        <f>长科收款!E35</f>
        <v>126600</v>
      </c>
      <c r="M39" s="72">
        <f t="shared" ref="M39:M62" si="11">I39-L39</f>
        <v>0</v>
      </c>
      <c r="N39" s="72">
        <f t="shared" ref="N39:N62" si="12">H39*J39-L39</f>
        <v>0</v>
      </c>
      <c r="O39" s="73">
        <f t="shared" si="8"/>
        <v>0</v>
      </c>
      <c r="P39" s="72">
        <v>0</v>
      </c>
      <c r="Q39" s="72">
        <f t="shared" si="5"/>
        <v>0</v>
      </c>
      <c r="R39" s="24">
        <v>6.79</v>
      </c>
      <c r="S39" s="73">
        <v>7163</v>
      </c>
      <c r="T39" s="73"/>
      <c r="U39" s="73">
        <f t="shared" ref="U39:U62" si="13">S39*G39</f>
        <v>859560</v>
      </c>
      <c r="V39" s="24" t="s">
        <v>845</v>
      </c>
      <c r="W39" s="24" t="s">
        <v>168</v>
      </c>
      <c r="X39" s="24" t="s">
        <v>169</v>
      </c>
      <c r="Y39" s="104">
        <v>0</v>
      </c>
      <c r="Z39" s="104">
        <v>0</v>
      </c>
      <c r="AA39" s="105">
        <v>0</v>
      </c>
      <c r="AB39" s="24"/>
      <c r="AC39" s="24"/>
      <c r="AD39" s="24"/>
      <c r="AE39" s="24"/>
      <c r="AF39" s="24"/>
      <c r="AG39" s="24"/>
      <c r="AH39" s="24"/>
    </row>
    <row r="40" s="34" customFormat="1" ht="11" customHeight="1" spans="1:34">
      <c r="A40" s="24" t="s">
        <v>37</v>
      </c>
      <c r="B40" s="24" t="s">
        <v>183</v>
      </c>
      <c r="C40" s="51" t="s">
        <v>1121</v>
      </c>
      <c r="D40" s="24" t="s">
        <v>1122</v>
      </c>
      <c r="E40" s="71">
        <v>46168</v>
      </c>
      <c r="F40" s="24" t="s">
        <v>1089</v>
      </c>
      <c r="G40" s="24">
        <v>30.8</v>
      </c>
      <c r="H40" s="73">
        <v>6250</v>
      </c>
      <c r="I40" s="73">
        <f t="shared" si="9"/>
        <v>192500</v>
      </c>
      <c r="J40" s="24">
        <v>30.8</v>
      </c>
      <c r="K40" s="24">
        <f t="shared" si="10"/>
        <v>0</v>
      </c>
      <c r="L40" s="73">
        <f>长科收款!E30</f>
        <v>192500</v>
      </c>
      <c r="M40" s="73">
        <f t="shared" si="11"/>
        <v>0</v>
      </c>
      <c r="N40" s="73">
        <f t="shared" si="12"/>
        <v>0</v>
      </c>
      <c r="O40" s="73">
        <f t="shared" si="8"/>
        <v>0</v>
      </c>
      <c r="P40" s="73">
        <v>0</v>
      </c>
      <c r="Q40" s="72">
        <f t="shared" si="5"/>
        <v>0</v>
      </c>
      <c r="R40" s="24">
        <v>1</v>
      </c>
      <c r="S40" s="73">
        <v>6100</v>
      </c>
      <c r="T40" s="73"/>
      <c r="U40" s="73">
        <f t="shared" si="13"/>
        <v>187880</v>
      </c>
      <c r="V40" s="24" t="s">
        <v>1082</v>
      </c>
      <c r="W40" s="24" t="s">
        <v>168</v>
      </c>
      <c r="X40" s="24" t="s">
        <v>169</v>
      </c>
      <c r="Y40" s="104">
        <v>0</v>
      </c>
      <c r="Z40" s="104">
        <v>0</v>
      </c>
      <c r="AA40" s="105">
        <v>0</v>
      </c>
      <c r="AB40" s="73"/>
      <c r="AC40" s="24"/>
      <c r="AD40" s="24"/>
      <c r="AE40" s="24"/>
      <c r="AF40" s="24"/>
      <c r="AG40" s="24"/>
      <c r="AH40" s="24"/>
    </row>
    <row r="41" s="34" customFormat="1" ht="11" customHeight="1" spans="1:34">
      <c r="A41" s="24" t="s">
        <v>201</v>
      </c>
      <c r="B41" s="24" t="s">
        <v>173</v>
      </c>
      <c r="C41" s="51" t="s">
        <v>1073</v>
      </c>
      <c r="D41" s="24" t="s">
        <v>1123</v>
      </c>
      <c r="E41" s="71">
        <v>46200</v>
      </c>
      <c r="F41" s="24" t="s">
        <v>1067</v>
      </c>
      <c r="G41" s="24">
        <v>27.5</v>
      </c>
      <c r="H41" s="72">
        <v>1500</v>
      </c>
      <c r="I41" s="72">
        <f t="shared" si="9"/>
        <v>41250</v>
      </c>
      <c r="J41" s="24">
        <v>27.5</v>
      </c>
      <c r="K41" s="24">
        <f t="shared" si="10"/>
        <v>0</v>
      </c>
      <c r="L41" s="72">
        <f>长科收款!E33+长科收款!E36</f>
        <v>41250</v>
      </c>
      <c r="M41" s="72">
        <f t="shared" si="11"/>
        <v>0</v>
      </c>
      <c r="N41" s="72">
        <f t="shared" si="12"/>
        <v>0</v>
      </c>
      <c r="O41" s="73">
        <f t="shared" si="8"/>
        <v>0</v>
      </c>
      <c r="P41" s="72">
        <v>0</v>
      </c>
      <c r="Q41" s="72">
        <f t="shared" si="5"/>
        <v>0</v>
      </c>
      <c r="R41" s="24">
        <v>6.77</v>
      </c>
      <c r="S41" s="73">
        <v>11100</v>
      </c>
      <c r="T41" s="73">
        <v>11000</v>
      </c>
      <c r="U41" s="73">
        <f t="shared" si="13"/>
        <v>305250</v>
      </c>
      <c r="V41" s="24" t="s">
        <v>1060</v>
      </c>
      <c r="W41" s="24" t="s">
        <v>155</v>
      </c>
      <c r="X41" s="24" t="s">
        <v>198</v>
      </c>
      <c r="Y41" s="104">
        <v>650</v>
      </c>
      <c r="Z41" s="104">
        <v>45</v>
      </c>
      <c r="AA41" s="105">
        <v>5000</v>
      </c>
      <c r="AB41" s="24"/>
      <c r="AC41" s="24"/>
      <c r="AD41" s="24"/>
      <c r="AE41" s="24"/>
      <c r="AF41" s="24"/>
      <c r="AG41" s="24"/>
      <c r="AH41" s="24"/>
    </row>
    <row r="42" s="34" customFormat="1" ht="11" customHeight="1" spans="1:34">
      <c r="A42" s="24" t="s">
        <v>25</v>
      </c>
      <c r="B42" s="24" t="s">
        <v>809</v>
      </c>
      <c r="C42" s="51" t="s">
        <v>833</v>
      </c>
      <c r="D42" s="24" t="s">
        <v>1124</v>
      </c>
      <c r="E42" s="71">
        <v>46232</v>
      </c>
      <c r="F42" s="24" t="s">
        <v>1067</v>
      </c>
      <c r="G42" s="24">
        <v>52.5</v>
      </c>
      <c r="H42" s="72">
        <v>1360</v>
      </c>
      <c r="I42" s="72">
        <f t="shared" si="9"/>
        <v>71400</v>
      </c>
      <c r="J42" s="24">
        <v>52.5</v>
      </c>
      <c r="K42" s="24">
        <f t="shared" si="10"/>
        <v>0</v>
      </c>
      <c r="L42" s="72">
        <v>0</v>
      </c>
      <c r="M42" s="72">
        <f t="shared" si="11"/>
        <v>71400</v>
      </c>
      <c r="N42" s="72">
        <f t="shared" si="12"/>
        <v>71400</v>
      </c>
      <c r="O42" s="73">
        <f t="shared" si="8"/>
        <v>484092</v>
      </c>
      <c r="P42" s="72">
        <v>0</v>
      </c>
      <c r="Q42" s="72">
        <f t="shared" si="5"/>
        <v>0</v>
      </c>
      <c r="R42" s="24">
        <v>6.78</v>
      </c>
      <c r="S42" s="73">
        <v>9576</v>
      </c>
      <c r="T42" s="73">
        <v>9200</v>
      </c>
      <c r="U42" s="73">
        <f t="shared" si="13"/>
        <v>502740</v>
      </c>
      <c r="V42" s="24" t="s">
        <v>1060</v>
      </c>
      <c r="W42" s="24" t="s">
        <v>155</v>
      </c>
      <c r="X42" s="51" t="s">
        <v>835</v>
      </c>
      <c r="Y42" s="102">
        <f>2200*2</f>
        <v>4400</v>
      </c>
      <c r="Z42" s="102">
        <f>42*2</f>
        <v>84</v>
      </c>
      <c r="AA42" s="103">
        <f>6000*2</f>
        <v>12000</v>
      </c>
      <c r="AB42" s="24"/>
      <c r="AC42" s="24"/>
      <c r="AD42" s="24"/>
      <c r="AE42" s="24"/>
      <c r="AF42" s="24"/>
      <c r="AG42" s="24"/>
      <c r="AH42" s="24"/>
    </row>
    <row r="43" s="34" customFormat="1" ht="15" customHeight="1" spans="1:34">
      <c r="A43" s="24" t="s">
        <v>25</v>
      </c>
      <c r="B43" s="24" t="s">
        <v>809</v>
      </c>
      <c r="C43" s="51" t="s">
        <v>833</v>
      </c>
      <c r="D43" s="24" t="s">
        <v>1124</v>
      </c>
      <c r="E43" s="71">
        <v>46232</v>
      </c>
      <c r="F43" s="24" t="s">
        <v>1125</v>
      </c>
      <c r="G43" s="24">
        <v>1</v>
      </c>
      <c r="H43" s="72">
        <v>1340</v>
      </c>
      <c r="I43" s="72">
        <f t="shared" si="9"/>
        <v>1340</v>
      </c>
      <c r="J43" s="24">
        <v>1</v>
      </c>
      <c r="K43" s="24">
        <f t="shared" si="10"/>
        <v>0</v>
      </c>
      <c r="L43" s="72">
        <v>0</v>
      </c>
      <c r="M43" s="72">
        <f t="shared" si="11"/>
        <v>1340</v>
      </c>
      <c r="N43" s="72">
        <f t="shared" si="12"/>
        <v>1340</v>
      </c>
      <c r="O43" s="73">
        <f t="shared" si="8"/>
        <v>9085.2</v>
      </c>
      <c r="P43" s="72">
        <v>0</v>
      </c>
      <c r="Q43" s="72">
        <f t="shared" si="5"/>
        <v>0</v>
      </c>
      <c r="R43" s="24">
        <v>6.78</v>
      </c>
      <c r="S43" s="73">
        <v>9423</v>
      </c>
      <c r="T43" s="73"/>
      <c r="U43" s="73">
        <f t="shared" si="13"/>
        <v>9423</v>
      </c>
      <c r="V43" s="24" t="s">
        <v>1060</v>
      </c>
      <c r="W43" s="24" t="s">
        <v>155</v>
      </c>
      <c r="X43" s="24" t="s">
        <v>835</v>
      </c>
      <c r="Y43" s="102"/>
      <c r="Z43" s="102"/>
      <c r="AA43" s="103"/>
      <c r="AB43" s="24"/>
      <c r="AC43" s="24"/>
      <c r="AD43" s="24"/>
      <c r="AE43" s="24"/>
      <c r="AF43" s="24"/>
      <c r="AG43" s="24"/>
      <c r="AH43" s="24"/>
    </row>
    <row r="44" s="34" customFormat="1" ht="11" customHeight="1" spans="1:34">
      <c r="A44" s="24" t="s">
        <v>25</v>
      </c>
      <c r="B44" s="24" t="s">
        <v>809</v>
      </c>
      <c r="C44" s="51" t="s">
        <v>833</v>
      </c>
      <c r="D44" s="24" t="s">
        <v>1124</v>
      </c>
      <c r="E44" s="71">
        <v>46232</v>
      </c>
      <c r="F44" s="24" t="s">
        <v>1063</v>
      </c>
      <c r="G44" s="24">
        <v>1</v>
      </c>
      <c r="H44" s="72">
        <v>1320</v>
      </c>
      <c r="I44" s="72">
        <f t="shared" si="9"/>
        <v>1320</v>
      </c>
      <c r="J44" s="24">
        <v>1</v>
      </c>
      <c r="K44" s="24">
        <f t="shared" si="10"/>
        <v>0</v>
      </c>
      <c r="L44" s="72">
        <v>0</v>
      </c>
      <c r="M44" s="72">
        <f t="shared" si="11"/>
        <v>1320</v>
      </c>
      <c r="N44" s="72">
        <f t="shared" si="12"/>
        <v>1320</v>
      </c>
      <c r="O44" s="73">
        <f t="shared" si="8"/>
        <v>8949.6</v>
      </c>
      <c r="P44" s="72">
        <v>0</v>
      </c>
      <c r="Q44" s="72">
        <f t="shared" si="5"/>
        <v>0</v>
      </c>
      <c r="R44" s="24">
        <v>6.78</v>
      </c>
      <c r="S44" s="73">
        <v>9270</v>
      </c>
      <c r="T44" s="73"/>
      <c r="U44" s="73">
        <f t="shared" si="13"/>
        <v>9270</v>
      </c>
      <c r="V44" s="24" t="s">
        <v>1060</v>
      </c>
      <c r="W44" s="24" t="s">
        <v>155</v>
      </c>
      <c r="X44" s="24" t="s">
        <v>835</v>
      </c>
      <c r="Y44" s="102"/>
      <c r="Z44" s="102"/>
      <c r="AA44" s="103"/>
      <c r="AB44" s="24"/>
      <c r="AC44" s="24"/>
      <c r="AD44" s="24"/>
      <c r="AE44" s="24"/>
      <c r="AF44" s="24"/>
      <c r="AG44" s="24"/>
      <c r="AH44" s="24"/>
    </row>
    <row r="45" s="34" customFormat="1" ht="11" customHeight="1" spans="1:34">
      <c r="A45" s="24" t="s">
        <v>25</v>
      </c>
      <c r="B45" s="24" t="s">
        <v>809</v>
      </c>
      <c r="C45" s="51" t="s">
        <v>833</v>
      </c>
      <c r="D45" s="24" t="s">
        <v>1124</v>
      </c>
      <c r="E45" s="71">
        <v>46232</v>
      </c>
      <c r="F45" s="24" t="s">
        <v>1064</v>
      </c>
      <c r="G45" s="24">
        <v>0.5</v>
      </c>
      <c r="H45" s="72">
        <v>2000</v>
      </c>
      <c r="I45" s="72">
        <f t="shared" si="9"/>
        <v>1000</v>
      </c>
      <c r="J45" s="24">
        <v>0.5</v>
      </c>
      <c r="K45" s="24">
        <f t="shared" si="10"/>
        <v>0</v>
      </c>
      <c r="L45" s="72">
        <v>0</v>
      </c>
      <c r="M45" s="72">
        <f t="shared" si="11"/>
        <v>1000</v>
      </c>
      <c r="N45" s="72">
        <f t="shared" si="12"/>
        <v>1000</v>
      </c>
      <c r="O45" s="73">
        <f t="shared" si="8"/>
        <v>6780</v>
      </c>
      <c r="P45" s="72">
        <v>0</v>
      </c>
      <c r="Q45" s="72">
        <f t="shared" si="5"/>
        <v>0</v>
      </c>
      <c r="R45" s="24">
        <v>6.78</v>
      </c>
      <c r="S45" s="73">
        <v>14480</v>
      </c>
      <c r="T45" s="73"/>
      <c r="U45" s="73">
        <f t="shared" si="13"/>
        <v>7240</v>
      </c>
      <c r="V45" s="24" t="s">
        <v>1060</v>
      </c>
      <c r="W45" s="24" t="s">
        <v>155</v>
      </c>
      <c r="X45" s="51" t="s">
        <v>835</v>
      </c>
      <c r="Y45" s="104"/>
      <c r="Z45" s="104"/>
      <c r="AA45" s="105"/>
      <c r="AB45" s="24"/>
      <c r="AC45" s="24"/>
      <c r="AD45" s="24"/>
      <c r="AE45" s="24"/>
      <c r="AF45" s="24"/>
      <c r="AG45" s="24"/>
      <c r="AH45" s="24"/>
    </row>
    <row r="46" s="34" customFormat="1" ht="11" customHeight="1" spans="1:34">
      <c r="A46" s="24" t="s">
        <v>193</v>
      </c>
      <c r="B46" s="24" t="s">
        <v>183</v>
      </c>
      <c r="C46" s="51" t="s">
        <v>1083</v>
      </c>
      <c r="D46" s="24" t="s">
        <v>1126</v>
      </c>
      <c r="E46" s="71">
        <v>46233</v>
      </c>
      <c r="F46" s="24" t="s">
        <v>1064</v>
      </c>
      <c r="G46" s="24">
        <v>27.5</v>
      </c>
      <c r="H46" s="72">
        <v>1710</v>
      </c>
      <c r="I46" s="72">
        <f t="shared" si="9"/>
        <v>47025</v>
      </c>
      <c r="J46" s="24">
        <v>27.5</v>
      </c>
      <c r="K46" s="24">
        <f t="shared" si="10"/>
        <v>0</v>
      </c>
      <c r="L46" s="72">
        <f>长科收款!E42</f>
        <v>47025</v>
      </c>
      <c r="M46" s="72">
        <f t="shared" si="11"/>
        <v>0</v>
      </c>
      <c r="N46" s="72">
        <f t="shared" si="12"/>
        <v>0</v>
      </c>
      <c r="O46" s="73">
        <f t="shared" si="8"/>
        <v>0</v>
      </c>
      <c r="P46" s="72">
        <v>0</v>
      </c>
      <c r="Q46" s="72">
        <f t="shared" si="5"/>
        <v>0</v>
      </c>
      <c r="R46" s="24">
        <v>6.77</v>
      </c>
      <c r="S46" s="73">
        <v>13081</v>
      </c>
      <c r="T46" s="73">
        <v>13000</v>
      </c>
      <c r="U46" s="73">
        <f t="shared" si="13"/>
        <v>359727.5</v>
      </c>
      <c r="V46" s="24" t="s">
        <v>1060</v>
      </c>
      <c r="W46" s="24" t="s">
        <v>168</v>
      </c>
      <c r="X46" s="24" t="s">
        <v>169</v>
      </c>
      <c r="Y46" s="104">
        <v>0</v>
      </c>
      <c r="Z46" s="104">
        <v>0</v>
      </c>
      <c r="AA46" s="105">
        <v>0</v>
      </c>
      <c r="AB46" s="24"/>
      <c r="AC46" s="24"/>
      <c r="AD46" s="24"/>
      <c r="AE46" s="24"/>
      <c r="AF46" s="24"/>
      <c r="AG46" s="24"/>
      <c r="AH46" s="24"/>
    </row>
    <row r="47" s="34" customFormat="1" ht="11" customHeight="1" spans="1:34">
      <c r="A47" s="24" t="s">
        <v>150</v>
      </c>
      <c r="B47" s="24" t="s">
        <v>183</v>
      </c>
      <c r="C47" s="51" t="s">
        <v>1127</v>
      </c>
      <c r="D47" s="24" t="s">
        <v>1128</v>
      </c>
      <c r="E47" s="71">
        <v>46233</v>
      </c>
      <c r="F47" s="24" t="s">
        <v>1064</v>
      </c>
      <c r="G47" s="24">
        <v>15</v>
      </c>
      <c r="H47" s="72">
        <v>1800</v>
      </c>
      <c r="I47" s="72">
        <f t="shared" si="9"/>
        <v>27000</v>
      </c>
      <c r="J47" s="24">
        <v>15</v>
      </c>
      <c r="K47" s="24">
        <f t="shared" si="10"/>
        <v>0</v>
      </c>
      <c r="L47" s="72">
        <f>长科收款!E43</f>
        <v>27000</v>
      </c>
      <c r="M47" s="72">
        <f t="shared" si="11"/>
        <v>0</v>
      </c>
      <c r="N47" s="72">
        <f t="shared" si="12"/>
        <v>0</v>
      </c>
      <c r="O47" s="73">
        <f t="shared" si="8"/>
        <v>0</v>
      </c>
      <c r="P47" s="72">
        <v>0</v>
      </c>
      <c r="Q47" s="72">
        <f t="shared" si="5"/>
        <v>0</v>
      </c>
      <c r="R47" s="24">
        <v>6.77</v>
      </c>
      <c r="S47" s="73">
        <v>13220</v>
      </c>
      <c r="T47" s="73">
        <v>13000</v>
      </c>
      <c r="U47" s="73">
        <f t="shared" si="13"/>
        <v>198300</v>
      </c>
      <c r="V47" s="24" t="s">
        <v>1082</v>
      </c>
      <c r="W47" s="24" t="s">
        <v>190</v>
      </c>
      <c r="X47" s="24" t="s">
        <v>1072</v>
      </c>
      <c r="Y47" s="104">
        <v>0</v>
      </c>
      <c r="Z47" s="104">
        <v>0</v>
      </c>
      <c r="AA47" s="105">
        <v>6000</v>
      </c>
      <c r="AB47" s="24"/>
      <c r="AC47" s="24"/>
      <c r="AD47" s="24"/>
      <c r="AE47" s="24"/>
      <c r="AF47" s="24"/>
      <c r="AG47" s="24"/>
      <c r="AH47" s="24"/>
    </row>
    <row r="48" s="34" customFormat="1" ht="13.85" spans="1:34">
      <c r="A48" s="24" t="s">
        <v>150</v>
      </c>
      <c r="B48" s="24" t="s">
        <v>183</v>
      </c>
      <c r="C48" s="51" t="s">
        <v>847</v>
      </c>
      <c r="D48" s="24" t="s">
        <v>1129</v>
      </c>
      <c r="E48" s="71">
        <v>46243</v>
      </c>
      <c r="F48" s="24" t="s">
        <v>1063</v>
      </c>
      <c r="G48" s="24">
        <v>27</v>
      </c>
      <c r="H48" s="72">
        <v>1490</v>
      </c>
      <c r="I48" s="72">
        <f t="shared" si="9"/>
        <v>40230</v>
      </c>
      <c r="J48" s="24">
        <v>27</v>
      </c>
      <c r="K48" s="24">
        <f t="shared" si="10"/>
        <v>0</v>
      </c>
      <c r="L48" s="72">
        <f>长科收款!E48</f>
        <v>40230</v>
      </c>
      <c r="M48" s="72">
        <f t="shared" si="11"/>
        <v>0</v>
      </c>
      <c r="N48" s="72">
        <f t="shared" si="12"/>
        <v>0</v>
      </c>
      <c r="O48" s="73">
        <f t="shared" si="8"/>
        <v>0</v>
      </c>
      <c r="P48" s="72">
        <v>30</v>
      </c>
      <c r="Q48" s="72">
        <f t="shared" si="5"/>
        <v>810</v>
      </c>
      <c r="R48" s="24">
        <v>6.78</v>
      </c>
      <c r="S48" s="73">
        <v>8687</v>
      </c>
      <c r="T48" s="73">
        <v>8500</v>
      </c>
      <c r="U48" s="73">
        <f t="shared" si="13"/>
        <v>234549</v>
      </c>
      <c r="V48" s="24" t="s">
        <v>1082</v>
      </c>
      <c r="W48" s="24" t="s">
        <v>155</v>
      </c>
      <c r="X48" s="24" t="s">
        <v>851</v>
      </c>
      <c r="Y48" s="104">
        <v>7600</v>
      </c>
      <c r="Z48" s="104">
        <v>50</v>
      </c>
      <c r="AA48" s="105">
        <v>5500</v>
      </c>
      <c r="AB48" s="24"/>
      <c r="AC48" s="24"/>
      <c r="AD48" s="24"/>
      <c r="AE48" s="24"/>
      <c r="AF48" s="24"/>
      <c r="AG48" s="24"/>
      <c r="AH48" s="24"/>
    </row>
    <row r="49" s="34" customFormat="1" ht="13.85" spans="1:34">
      <c r="A49" s="24" t="s">
        <v>201</v>
      </c>
      <c r="B49" s="24" t="s">
        <v>173</v>
      </c>
      <c r="C49" s="51" t="s">
        <v>1073</v>
      </c>
      <c r="D49" s="24" t="s">
        <v>1130</v>
      </c>
      <c r="E49" s="71">
        <v>46248</v>
      </c>
      <c r="F49" s="24" t="s">
        <v>1067</v>
      </c>
      <c r="G49" s="24">
        <v>27.5</v>
      </c>
      <c r="H49" s="72">
        <v>1270</v>
      </c>
      <c r="I49" s="72">
        <f t="shared" si="9"/>
        <v>34925</v>
      </c>
      <c r="J49" s="24">
        <v>27.5</v>
      </c>
      <c r="K49" s="24">
        <f t="shared" si="10"/>
        <v>0</v>
      </c>
      <c r="L49" s="72">
        <v>34925</v>
      </c>
      <c r="M49" s="72">
        <f t="shared" si="11"/>
        <v>0</v>
      </c>
      <c r="N49" s="72">
        <f t="shared" si="12"/>
        <v>0</v>
      </c>
      <c r="O49" s="73">
        <f t="shared" si="8"/>
        <v>0</v>
      </c>
      <c r="P49" s="72">
        <v>0</v>
      </c>
      <c r="Q49" s="72">
        <f t="shared" si="5"/>
        <v>0</v>
      </c>
      <c r="R49" s="24">
        <v>6.77</v>
      </c>
      <c r="S49" s="73">
        <v>9330</v>
      </c>
      <c r="T49" s="73"/>
      <c r="U49" s="73">
        <f t="shared" si="13"/>
        <v>256575</v>
      </c>
      <c r="V49" s="24" t="s">
        <v>1060</v>
      </c>
      <c r="W49" s="24" t="s">
        <v>155</v>
      </c>
      <c r="X49" s="24" t="s">
        <v>198</v>
      </c>
      <c r="Y49" s="104">
        <f>700</f>
        <v>700</v>
      </c>
      <c r="Z49" s="104">
        <v>38</v>
      </c>
      <c r="AA49" s="105">
        <v>5000</v>
      </c>
      <c r="AB49" s="24"/>
      <c r="AC49" s="24"/>
      <c r="AD49" s="24"/>
      <c r="AE49" s="24"/>
      <c r="AF49" s="24"/>
      <c r="AG49" s="24"/>
      <c r="AH49" s="24"/>
    </row>
    <row r="50" s="34" customFormat="1" ht="14" customHeight="1" spans="1:34">
      <c r="A50" s="24" t="s">
        <v>37</v>
      </c>
      <c r="B50" s="24" t="s">
        <v>183</v>
      </c>
      <c r="C50" s="51" t="s">
        <v>1096</v>
      </c>
      <c r="D50" s="24" t="s">
        <v>1131</v>
      </c>
      <c r="E50" s="71">
        <v>46265</v>
      </c>
      <c r="F50" s="24" t="s">
        <v>1067</v>
      </c>
      <c r="G50" s="24">
        <v>108</v>
      </c>
      <c r="H50" s="72">
        <v>1240</v>
      </c>
      <c r="I50" s="72">
        <f t="shared" si="9"/>
        <v>133920</v>
      </c>
      <c r="J50" s="24">
        <v>108</v>
      </c>
      <c r="K50" s="24">
        <f t="shared" si="10"/>
        <v>0</v>
      </c>
      <c r="L50" s="72">
        <f>长科收款!E52+长科收款!E56</f>
        <v>133920</v>
      </c>
      <c r="M50" s="72">
        <f t="shared" si="11"/>
        <v>0</v>
      </c>
      <c r="N50" s="72">
        <f t="shared" si="12"/>
        <v>0</v>
      </c>
      <c r="O50" s="73">
        <f t="shared" si="8"/>
        <v>0</v>
      </c>
      <c r="P50" s="72">
        <v>0</v>
      </c>
      <c r="Q50" s="72">
        <f t="shared" si="5"/>
        <v>0</v>
      </c>
      <c r="R50" s="24">
        <v>6.77</v>
      </c>
      <c r="S50" s="73">
        <v>9319</v>
      </c>
      <c r="T50" s="73"/>
      <c r="U50" s="73">
        <f t="shared" si="13"/>
        <v>1006452</v>
      </c>
      <c r="V50" s="24" t="s">
        <v>1060</v>
      </c>
      <c r="W50" s="24" t="s">
        <v>190</v>
      </c>
      <c r="X50" s="24" t="s">
        <v>1072</v>
      </c>
      <c r="Y50" s="104">
        <v>0</v>
      </c>
      <c r="Z50" s="104">
        <v>0</v>
      </c>
      <c r="AA50" s="105">
        <f>4*9319</f>
        <v>37276</v>
      </c>
      <c r="AB50" s="24"/>
      <c r="AC50" s="24"/>
      <c r="AD50" s="24"/>
      <c r="AE50" s="24"/>
      <c r="AF50" s="24"/>
      <c r="AG50" s="24"/>
      <c r="AH50" s="24"/>
    </row>
    <row r="51" s="34" customFormat="1" ht="15" customHeight="1" spans="1:34">
      <c r="A51" s="24" t="s">
        <v>37</v>
      </c>
      <c r="B51" s="24" t="s">
        <v>183</v>
      </c>
      <c r="C51" s="51" t="s">
        <v>1115</v>
      </c>
      <c r="D51" s="24" t="s">
        <v>1132</v>
      </c>
      <c r="E51" s="71">
        <v>46249</v>
      </c>
      <c r="F51" s="24" t="s">
        <v>1067</v>
      </c>
      <c r="G51" s="24">
        <v>42</v>
      </c>
      <c r="H51" s="73">
        <v>9720</v>
      </c>
      <c r="I51" s="73">
        <f t="shared" si="9"/>
        <v>408240</v>
      </c>
      <c r="J51" s="24">
        <v>42</v>
      </c>
      <c r="K51" s="24">
        <f t="shared" si="10"/>
        <v>0</v>
      </c>
      <c r="L51" s="73">
        <f>长科收款!E45</f>
        <v>408240</v>
      </c>
      <c r="M51" s="73">
        <f t="shared" si="11"/>
        <v>0</v>
      </c>
      <c r="N51" s="73">
        <f t="shared" si="12"/>
        <v>0</v>
      </c>
      <c r="O51" s="73">
        <f t="shared" si="8"/>
        <v>0</v>
      </c>
      <c r="P51" s="73">
        <v>0</v>
      </c>
      <c r="Q51" s="73">
        <f t="shared" si="5"/>
        <v>0</v>
      </c>
      <c r="R51" s="24">
        <v>1</v>
      </c>
      <c r="S51" s="73">
        <v>9300</v>
      </c>
      <c r="T51" s="73"/>
      <c r="U51" s="73">
        <f t="shared" si="13"/>
        <v>390600</v>
      </c>
      <c r="V51" s="24" t="s">
        <v>1060</v>
      </c>
      <c r="W51" s="24" t="s">
        <v>39</v>
      </c>
      <c r="X51" s="24" t="s">
        <v>1117</v>
      </c>
      <c r="Y51" s="104"/>
      <c r="Z51" s="104"/>
      <c r="AA51" s="105"/>
      <c r="AB51" s="73">
        <f>420*G51</f>
        <v>17640</v>
      </c>
      <c r="AC51" s="24"/>
      <c r="AD51" s="24"/>
      <c r="AE51" s="24"/>
      <c r="AF51" s="24"/>
      <c r="AG51" s="24"/>
      <c r="AH51" s="24"/>
    </row>
    <row r="52" s="34" customFormat="1" ht="17" customHeight="1" spans="1:34">
      <c r="A52" s="24" t="s">
        <v>37</v>
      </c>
      <c r="B52" s="24" t="s">
        <v>183</v>
      </c>
      <c r="C52" s="51" t="s">
        <v>1096</v>
      </c>
      <c r="D52" s="24" t="s">
        <v>1133</v>
      </c>
      <c r="E52" s="71">
        <v>46265</v>
      </c>
      <c r="F52" s="24" t="s">
        <v>1067</v>
      </c>
      <c r="G52" s="24">
        <v>27</v>
      </c>
      <c r="H52" s="72">
        <v>1245</v>
      </c>
      <c r="I52" s="72">
        <f t="shared" si="9"/>
        <v>33615</v>
      </c>
      <c r="J52" s="24">
        <v>27</v>
      </c>
      <c r="K52" s="24">
        <f t="shared" si="10"/>
        <v>0</v>
      </c>
      <c r="L52" s="72">
        <f>长科收款!E57</f>
        <v>33615</v>
      </c>
      <c r="M52" s="72">
        <f t="shared" si="11"/>
        <v>0</v>
      </c>
      <c r="N52" s="72">
        <f t="shared" si="12"/>
        <v>0</v>
      </c>
      <c r="O52" s="73">
        <f t="shared" si="8"/>
        <v>0</v>
      </c>
      <c r="P52" s="72">
        <v>0</v>
      </c>
      <c r="Q52" s="72">
        <f t="shared" si="5"/>
        <v>0</v>
      </c>
      <c r="R52" s="24">
        <v>6.755</v>
      </c>
      <c r="S52" s="73">
        <v>9336</v>
      </c>
      <c r="T52" s="73"/>
      <c r="U52" s="73">
        <f t="shared" si="13"/>
        <v>252072</v>
      </c>
      <c r="V52" s="24" t="s">
        <v>1060</v>
      </c>
      <c r="W52" s="24" t="s">
        <v>190</v>
      </c>
      <c r="X52" s="24" t="s">
        <v>1072</v>
      </c>
      <c r="Y52" s="104">
        <v>0</v>
      </c>
      <c r="Z52" s="104">
        <v>0</v>
      </c>
      <c r="AA52" s="105">
        <v>4500</v>
      </c>
      <c r="AB52" s="24"/>
      <c r="AC52" s="24"/>
      <c r="AD52" s="24"/>
      <c r="AE52" s="24"/>
      <c r="AF52" s="24"/>
      <c r="AG52" s="24"/>
      <c r="AH52" s="24"/>
    </row>
    <row r="53" s="34" customFormat="1" ht="13.85" spans="1:34">
      <c r="A53" s="24" t="s">
        <v>25</v>
      </c>
      <c r="B53" s="24" t="s">
        <v>809</v>
      </c>
      <c r="C53" s="51" t="s">
        <v>860</v>
      </c>
      <c r="D53" s="24" t="s">
        <v>1134</v>
      </c>
      <c r="E53" s="71">
        <v>46257</v>
      </c>
      <c r="F53" s="24" t="s">
        <v>1059</v>
      </c>
      <c r="G53" s="24">
        <v>14</v>
      </c>
      <c r="H53" s="72">
        <v>1320</v>
      </c>
      <c r="I53" s="72">
        <f t="shared" si="9"/>
        <v>18480</v>
      </c>
      <c r="J53" s="9">
        <v>14</v>
      </c>
      <c r="K53" s="24">
        <f t="shared" si="10"/>
        <v>0</v>
      </c>
      <c r="L53" s="72">
        <v>0</v>
      </c>
      <c r="M53" s="72">
        <f t="shared" si="11"/>
        <v>18480</v>
      </c>
      <c r="N53" s="72">
        <f t="shared" si="12"/>
        <v>18480</v>
      </c>
      <c r="O53" s="73">
        <f t="shared" si="8"/>
        <v>124808.376</v>
      </c>
      <c r="P53" s="72">
        <v>10</v>
      </c>
      <c r="Q53" s="72">
        <f t="shared" ref="Q53:Q59" si="14">P53*G53</f>
        <v>140</v>
      </c>
      <c r="R53" s="24">
        <v>6.7537</v>
      </c>
      <c r="S53" s="73">
        <v>9299</v>
      </c>
      <c r="T53" s="73"/>
      <c r="U53" s="73">
        <f t="shared" si="13"/>
        <v>130186</v>
      </c>
      <c r="V53" s="24" t="s">
        <v>1060</v>
      </c>
      <c r="W53" s="24" t="s">
        <v>155</v>
      </c>
      <c r="X53" s="24" t="s">
        <v>824</v>
      </c>
      <c r="Y53" s="102">
        <f>1850*2</f>
        <v>3700</v>
      </c>
      <c r="Z53" s="102">
        <f>40*2</f>
        <v>80</v>
      </c>
      <c r="AA53" s="105">
        <f>5000*2</f>
        <v>10000</v>
      </c>
      <c r="AB53" s="24"/>
      <c r="AC53" s="24"/>
      <c r="AD53" s="24"/>
      <c r="AE53" s="24"/>
      <c r="AF53" s="24"/>
      <c r="AG53" s="24"/>
      <c r="AH53" s="24"/>
    </row>
    <row r="54" s="34" customFormat="1" ht="13.85" spans="1:34">
      <c r="A54" s="24" t="s">
        <v>25</v>
      </c>
      <c r="B54" s="24" t="s">
        <v>809</v>
      </c>
      <c r="C54" s="51" t="s">
        <v>860</v>
      </c>
      <c r="D54" s="24" t="s">
        <v>1134</v>
      </c>
      <c r="E54" s="71">
        <v>46257</v>
      </c>
      <c r="F54" s="24" t="s">
        <v>1062</v>
      </c>
      <c r="G54" s="24">
        <v>13.5</v>
      </c>
      <c r="H54" s="72">
        <v>1320</v>
      </c>
      <c r="I54" s="72">
        <f t="shared" si="9"/>
        <v>17820</v>
      </c>
      <c r="J54" s="9">
        <v>13.5</v>
      </c>
      <c r="K54" s="24">
        <f t="shared" si="10"/>
        <v>0</v>
      </c>
      <c r="L54" s="72">
        <v>0</v>
      </c>
      <c r="M54" s="72">
        <f t="shared" si="11"/>
        <v>17820</v>
      </c>
      <c r="N54" s="72">
        <f t="shared" si="12"/>
        <v>17820</v>
      </c>
      <c r="O54" s="73">
        <f t="shared" si="8"/>
        <v>120350.934</v>
      </c>
      <c r="P54" s="72">
        <v>10</v>
      </c>
      <c r="Q54" s="72">
        <f t="shared" si="14"/>
        <v>135</v>
      </c>
      <c r="R54" s="24">
        <v>6.7537</v>
      </c>
      <c r="S54" s="73">
        <v>9299</v>
      </c>
      <c r="T54" s="73"/>
      <c r="U54" s="73">
        <f t="shared" si="13"/>
        <v>125536.5</v>
      </c>
      <c r="V54" s="24" t="s">
        <v>1060</v>
      </c>
      <c r="W54" s="24" t="s">
        <v>155</v>
      </c>
      <c r="X54" s="24" t="s">
        <v>824</v>
      </c>
      <c r="Y54" s="102"/>
      <c r="Z54" s="102"/>
      <c r="AA54" s="105"/>
      <c r="AB54" s="24"/>
      <c r="AC54" s="24"/>
      <c r="AD54" s="24"/>
      <c r="AE54" s="24"/>
      <c r="AF54" s="24"/>
      <c r="AG54" s="24"/>
      <c r="AH54" s="24"/>
    </row>
    <row r="55" s="34" customFormat="1" ht="13.85" spans="1:34">
      <c r="A55" s="24" t="s">
        <v>25</v>
      </c>
      <c r="B55" s="24" t="s">
        <v>809</v>
      </c>
      <c r="C55" s="51" t="s">
        <v>860</v>
      </c>
      <c r="D55" s="24" t="s">
        <v>1134</v>
      </c>
      <c r="E55" s="71">
        <v>46257</v>
      </c>
      <c r="F55" s="24" t="s">
        <v>1063</v>
      </c>
      <c r="G55" s="24">
        <v>27.5</v>
      </c>
      <c r="H55" s="72">
        <v>1350</v>
      </c>
      <c r="I55" s="72">
        <f t="shared" si="9"/>
        <v>37125</v>
      </c>
      <c r="J55" s="9">
        <v>27.5</v>
      </c>
      <c r="K55" s="24">
        <f t="shared" si="10"/>
        <v>0</v>
      </c>
      <c r="L55" s="72">
        <v>0</v>
      </c>
      <c r="M55" s="72">
        <f t="shared" si="11"/>
        <v>37125</v>
      </c>
      <c r="N55" s="72">
        <f t="shared" si="12"/>
        <v>37125</v>
      </c>
      <c r="O55" s="73">
        <f t="shared" si="8"/>
        <v>250731.1125</v>
      </c>
      <c r="P55" s="72">
        <v>5</v>
      </c>
      <c r="Q55" s="72">
        <f t="shared" si="14"/>
        <v>137.5</v>
      </c>
      <c r="R55" s="24">
        <v>6.7537</v>
      </c>
      <c r="S55" s="73">
        <v>9299</v>
      </c>
      <c r="T55" s="73"/>
      <c r="U55" s="73">
        <f t="shared" si="13"/>
        <v>255722.5</v>
      </c>
      <c r="V55" s="24" t="s">
        <v>1060</v>
      </c>
      <c r="W55" s="24" t="s">
        <v>155</v>
      </c>
      <c r="X55" s="24" t="s">
        <v>824</v>
      </c>
      <c r="Y55" s="104"/>
      <c r="Z55" s="104"/>
      <c r="AA55" s="105"/>
      <c r="AB55" s="24"/>
      <c r="AC55" s="24"/>
      <c r="AD55" s="24"/>
      <c r="AE55" s="24"/>
      <c r="AF55" s="24"/>
      <c r="AG55" s="24"/>
      <c r="AH55" s="24"/>
    </row>
    <row r="56" s="34" customFormat="1" ht="13.85" spans="1:34">
      <c r="A56" s="24" t="s">
        <v>25</v>
      </c>
      <c r="B56" s="24" t="s">
        <v>809</v>
      </c>
      <c r="C56" s="51" t="s">
        <v>810</v>
      </c>
      <c r="D56" s="24" t="s">
        <v>1135</v>
      </c>
      <c r="E56" s="71">
        <v>46257</v>
      </c>
      <c r="F56" s="24" t="s">
        <v>1059</v>
      </c>
      <c r="G56" s="24">
        <v>12.5</v>
      </c>
      <c r="H56" s="72">
        <v>1320</v>
      </c>
      <c r="I56" s="72">
        <f t="shared" si="9"/>
        <v>16500</v>
      </c>
      <c r="J56" s="24">
        <v>12.5</v>
      </c>
      <c r="K56" s="24">
        <f t="shared" si="10"/>
        <v>0</v>
      </c>
      <c r="L56" s="72">
        <v>0</v>
      </c>
      <c r="M56" s="72">
        <f t="shared" si="11"/>
        <v>16500</v>
      </c>
      <c r="N56" s="72">
        <f t="shared" si="12"/>
        <v>16500</v>
      </c>
      <c r="O56" s="73">
        <f t="shared" si="8"/>
        <v>111436.05</v>
      </c>
      <c r="P56" s="72">
        <v>10</v>
      </c>
      <c r="Q56" s="72">
        <f t="shared" si="14"/>
        <v>125</v>
      </c>
      <c r="R56" s="24">
        <v>6.7537</v>
      </c>
      <c r="S56" s="73">
        <v>9299</v>
      </c>
      <c r="T56" s="73"/>
      <c r="U56" s="73">
        <f t="shared" si="13"/>
        <v>116237.5</v>
      </c>
      <c r="V56" s="24" t="s">
        <v>1060</v>
      </c>
      <c r="W56" s="24" t="s">
        <v>155</v>
      </c>
      <c r="X56" s="24" t="s">
        <v>829</v>
      </c>
      <c r="Y56" s="102">
        <f>1850*3</f>
        <v>5550</v>
      </c>
      <c r="Z56" s="102">
        <f>40*3</f>
        <v>120</v>
      </c>
      <c r="AA56" s="105">
        <f>5000*3</f>
        <v>15000</v>
      </c>
      <c r="AB56" s="24"/>
      <c r="AC56" s="24"/>
      <c r="AD56" s="24"/>
      <c r="AE56" s="24"/>
      <c r="AF56" s="24"/>
      <c r="AG56" s="24"/>
      <c r="AH56" s="24"/>
    </row>
    <row r="57" s="34" customFormat="1" ht="13.85" spans="1:34">
      <c r="A57" s="24" t="s">
        <v>25</v>
      </c>
      <c r="B57" s="24" t="s">
        <v>809</v>
      </c>
      <c r="C57" s="51" t="s">
        <v>810</v>
      </c>
      <c r="D57" s="24" t="s">
        <v>1135</v>
      </c>
      <c r="E57" s="71">
        <v>46257</v>
      </c>
      <c r="F57" s="24" t="s">
        <v>1062</v>
      </c>
      <c r="G57" s="24">
        <v>15</v>
      </c>
      <c r="H57" s="72">
        <v>1320</v>
      </c>
      <c r="I57" s="72">
        <f t="shared" si="9"/>
        <v>19800</v>
      </c>
      <c r="J57" s="24">
        <v>15</v>
      </c>
      <c r="K57" s="24">
        <f t="shared" si="10"/>
        <v>0</v>
      </c>
      <c r="L57" s="72">
        <v>0</v>
      </c>
      <c r="M57" s="72">
        <f t="shared" si="11"/>
        <v>19800</v>
      </c>
      <c r="N57" s="72">
        <f t="shared" si="12"/>
        <v>19800</v>
      </c>
      <c r="O57" s="73">
        <f t="shared" si="8"/>
        <v>133723.26</v>
      </c>
      <c r="P57" s="72">
        <v>10</v>
      </c>
      <c r="Q57" s="72">
        <f t="shared" si="14"/>
        <v>150</v>
      </c>
      <c r="R57" s="24">
        <v>6.7537</v>
      </c>
      <c r="S57" s="73">
        <v>9299</v>
      </c>
      <c r="T57" s="73"/>
      <c r="U57" s="73">
        <f t="shared" si="13"/>
        <v>139485</v>
      </c>
      <c r="V57" s="24" t="s">
        <v>1060</v>
      </c>
      <c r="W57" s="24" t="s">
        <v>155</v>
      </c>
      <c r="X57" s="24" t="s">
        <v>829</v>
      </c>
      <c r="Y57" s="102"/>
      <c r="Z57" s="102"/>
      <c r="AA57" s="105"/>
      <c r="AB57" s="24"/>
      <c r="AC57" s="24"/>
      <c r="AD57" s="24"/>
      <c r="AE57" s="24"/>
      <c r="AF57" s="24"/>
      <c r="AG57" s="24"/>
      <c r="AH57" s="24"/>
    </row>
    <row r="58" s="34" customFormat="1" ht="13.85" spans="1:34">
      <c r="A58" s="24" t="s">
        <v>25</v>
      </c>
      <c r="B58" s="24" t="s">
        <v>809</v>
      </c>
      <c r="C58" s="51" t="s">
        <v>810</v>
      </c>
      <c r="D58" s="24" t="s">
        <v>1135</v>
      </c>
      <c r="E58" s="71">
        <v>46257</v>
      </c>
      <c r="F58" s="24" t="s">
        <v>1063</v>
      </c>
      <c r="G58" s="24">
        <v>55</v>
      </c>
      <c r="H58" s="72">
        <v>1350</v>
      </c>
      <c r="I58" s="72">
        <f t="shared" si="9"/>
        <v>74250</v>
      </c>
      <c r="J58" s="24">
        <v>55</v>
      </c>
      <c r="K58" s="24">
        <f t="shared" si="10"/>
        <v>0</v>
      </c>
      <c r="L58" s="72">
        <v>0</v>
      </c>
      <c r="M58" s="72">
        <f t="shared" si="11"/>
        <v>74250</v>
      </c>
      <c r="N58" s="72">
        <f t="shared" si="12"/>
        <v>74250</v>
      </c>
      <c r="O58" s="73">
        <f t="shared" si="8"/>
        <v>501462.225</v>
      </c>
      <c r="P58" s="72">
        <v>5</v>
      </c>
      <c r="Q58" s="72">
        <f t="shared" si="14"/>
        <v>275</v>
      </c>
      <c r="R58" s="24">
        <v>6.7537</v>
      </c>
      <c r="S58" s="73">
        <v>9299</v>
      </c>
      <c r="T58" s="73"/>
      <c r="U58" s="73">
        <f t="shared" si="13"/>
        <v>511445</v>
      </c>
      <c r="V58" s="24" t="s">
        <v>1060</v>
      </c>
      <c r="W58" s="24" t="s">
        <v>155</v>
      </c>
      <c r="X58" s="24" t="s">
        <v>829</v>
      </c>
      <c r="Y58" s="104"/>
      <c r="Z58" s="104"/>
      <c r="AA58" s="105"/>
      <c r="AB58" s="24"/>
      <c r="AC58" s="24"/>
      <c r="AD58" s="24"/>
      <c r="AE58" s="24"/>
      <c r="AF58" s="24"/>
      <c r="AG58" s="24"/>
      <c r="AH58" s="24"/>
    </row>
    <row r="59" s="34" customFormat="1" ht="13.85" spans="1:34">
      <c r="A59" s="24" t="s">
        <v>25</v>
      </c>
      <c r="B59" s="24" t="s">
        <v>809</v>
      </c>
      <c r="C59" s="51" t="s">
        <v>1111</v>
      </c>
      <c r="D59" s="24" t="s">
        <v>1136</v>
      </c>
      <c r="E59" s="71">
        <v>46265</v>
      </c>
      <c r="F59" s="24" t="s">
        <v>1067</v>
      </c>
      <c r="G59" s="24">
        <v>27.5</v>
      </c>
      <c r="H59" s="72">
        <v>1350</v>
      </c>
      <c r="I59" s="72">
        <f t="shared" si="9"/>
        <v>37125</v>
      </c>
      <c r="J59" s="24">
        <v>27.5</v>
      </c>
      <c r="K59" s="24">
        <f t="shared" si="10"/>
        <v>0</v>
      </c>
      <c r="L59" s="72">
        <v>0</v>
      </c>
      <c r="M59" s="72">
        <f t="shared" si="11"/>
        <v>37125</v>
      </c>
      <c r="N59" s="72">
        <f t="shared" si="12"/>
        <v>37125</v>
      </c>
      <c r="O59" s="73">
        <f t="shared" si="8"/>
        <v>250211.3625</v>
      </c>
      <c r="P59" s="72">
        <v>10</v>
      </c>
      <c r="Q59" s="72">
        <f t="shared" si="14"/>
        <v>275</v>
      </c>
      <c r="R59" s="24">
        <v>6.7397</v>
      </c>
      <c r="S59" s="73">
        <v>9508</v>
      </c>
      <c r="T59" s="73"/>
      <c r="U59" s="73">
        <f t="shared" si="13"/>
        <v>261470</v>
      </c>
      <c r="V59" s="24" t="s">
        <v>1060</v>
      </c>
      <c r="W59" s="24" t="s">
        <v>155</v>
      </c>
      <c r="X59" s="24" t="s">
        <v>824</v>
      </c>
      <c r="Y59" s="104">
        <v>1850</v>
      </c>
      <c r="Z59" s="104">
        <v>41</v>
      </c>
      <c r="AA59" s="105">
        <v>5000</v>
      </c>
      <c r="AB59" s="24"/>
      <c r="AC59" s="24"/>
      <c r="AD59" s="24"/>
      <c r="AE59" s="24"/>
      <c r="AF59" s="24"/>
      <c r="AG59" s="24"/>
      <c r="AH59" s="24"/>
    </row>
    <row r="60" s="34" customFormat="1" ht="13.85" spans="1:34">
      <c r="A60" s="24" t="s">
        <v>25</v>
      </c>
      <c r="B60" s="24" t="s">
        <v>164</v>
      </c>
      <c r="C60" s="51" t="s">
        <v>833</v>
      </c>
      <c r="D60" s="24" t="s">
        <v>1137</v>
      </c>
      <c r="E60" s="71">
        <v>46265</v>
      </c>
      <c r="F60" s="24" t="s">
        <v>1067</v>
      </c>
      <c r="G60" s="24">
        <v>27.5</v>
      </c>
      <c r="H60" s="72">
        <v>1300</v>
      </c>
      <c r="I60" s="72">
        <f t="shared" si="9"/>
        <v>35750</v>
      </c>
      <c r="J60" s="24">
        <v>27.5</v>
      </c>
      <c r="K60" s="24">
        <f t="shared" si="10"/>
        <v>0</v>
      </c>
      <c r="L60" s="72">
        <f>长科收款!E53+长科收款!E74</f>
        <v>35877.5</v>
      </c>
      <c r="M60" s="72">
        <f t="shared" si="11"/>
        <v>-127.5</v>
      </c>
      <c r="N60" s="72">
        <f t="shared" si="12"/>
        <v>-127.5</v>
      </c>
      <c r="O60" s="73">
        <f t="shared" si="8"/>
        <v>-859.31175</v>
      </c>
      <c r="P60" s="82" t="s">
        <v>1138</v>
      </c>
      <c r="Q60" s="89"/>
      <c r="R60" s="24">
        <v>6.7397</v>
      </c>
      <c r="S60" s="73">
        <v>9153</v>
      </c>
      <c r="T60" s="73"/>
      <c r="U60" s="73">
        <f t="shared" si="13"/>
        <v>251707.5</v>
      </c>
      <c r="V60" s="24" t="s">
        <v>1060</v>
      </c>
      <c r="W60" s="24" t="s">
        <v>155</v>
      </c>
      <c r="X60" s="90" t="s">
        <v>835</v>
      </c>
      <c r="Y60" s="106">
        <f>2000*3</f>
        <v>6000</v>
      </c>
      <c r="Z60" s="106">
        <f>40*3</f>
        <v>120</v>
      </c>
      <c r="AA60" s="105">
        <f>5000*3</f>
        <v>15000</v>
      </c>
      <c r="AB60" s="24"/>
      <c r="AC60" s="24"/>
      <c r="AD60" s="24"/>
      <c r="AE60" s="24"/>
      <c r="AF60" s="24"/>
      <c r="AG60" s="24"/>
      <c r="AH60" s="24"/>
    </row>
    <row r="61" s="34" customFormat="1" ht="13.85" spans="1:34">
      <c r="A61" s="24" t="s">
        <v>25</v>
      </c>
      <c r="B61" s="24" t="s">
        <v>164</v>
      </c>
      <c r="C61" s="51" t="s">
        <v>833</v>
      </c>
      <c r="D61" s="24" t="s">
        <v>1137</v>
      </c>
      <c r="E61" s="71">
        <v>46265</v>
      </c>
      <c r="F61" s="24" t="s">
        <v>1062</v>
      </c>
      <c r="G61" s="24">
        <v>27.5</v>
      </c>
      <c r="H61" s="72">
        <v>1340</v>
      </c>
      <c r="I61" s="72">
        <f t="shared" si="9"/>
        <v>36850</v>
      </c>
      <c r="J61" s="24">
        <v>27.5</v>
      </c>
      <c r="K61" s="24">
        <f t="shared" si="10"/>
        <v>0</v>
      </c>
      <c r="L61" s="72">
        <f>长科收款!E54+长科收款!E75</f>
        <v>35877.5</v>
      </c>
      <c r="M61" s="72">
        <f t="shared" si="11"/>
        <v>972.5</v>
      </c>
      <c r="N61" s="72">
        <f t="shared" si="12"/>
        <v>972.5</v>
      </c>
      <c r="O61" s="73">
        <f t="shared" si="8"/>
        <v>6554.35825</v>
      </c>
      <c r="P61" s="83"/>
      <c r="Q61" s="91"/>
      <c r="R61" s="24">
        <v>6.7397</v>
      </c>
      <c r="S61" s="73">
        <v>9458</v>
      </c>
      <c r="T61" s="73"/>
      <c r="U61" s="73">
        <f t="shared" si="13"/>
        <v>260095</v>
      </c>
      <c r="V61" s="24" t="s">
        <v>1060</v>
      </c>
      <c r="W61" s="24" t="s">
        <v>155</v>
      </c>
      <c r="X61" s="90" t="s">
        <v>835</v>
      </c>
      <c r="Y61" s="106"/>
      <c r="Z61" s="106"/>
      <c r="AA61" s="105"/>
      <c r="AB61" s="24"/>
      <c r="AC61" s="24"/>
      <c r="AD61" s="24"/>
      <c r="AE61" s="24"/>
      <c r="AF61" s="24"/>
      <c r="AG61" s="24"/>
      <c r="AH61" s="24"/>
    </row>
    <row r="62" s="34" customFormat="1" ht="13.85" spans="1:34">
      <c r="A62" s="24" t="s">
        <v>25</v>
      </c>
      <c r="B62" s="24" t="s">
        <v>164</v>
      </c>
      <c r="C62" s="51" t="s">
        <v>833</v>
      </c>
      <c r="D62" s="24" t="s">
        <v>1137</v>
      </c>
      <c r="E62" s="71">
        <v>46265</v>
      </c>
      <c r="F62" s="24" t="s">
        <v>1063</v>
      </c>
      <c r="G62" s="24">
        <v>27.5</v>
      </c>
      <c r="H62" s="72">
        <v>1340</v>
      </c>
      <c r="I62" s="72">
        <f t="shared" si="9"/>
        <v>36850</v>
      </c>
      <c r="J62" s="24">
        <v>27.5</v>
      </c>
      <c r="K62" s="24">
        <f t="shared" si="10"/>
        <v>0</v>
      </c>
      <c r="L62" s="72">
        <f>长科收款!E55+长科收款!E75</f>
        <v>35877.5</v>
      </c>
      <c r="M62" s="72">
        <f t="shared" si="11"/>
        <v>972.5</v>
      </c>
      <c r="N62" s="72">
        <f t="shared" si="12"/>
        <v>972.5</v>
      </c>
      <c r="O62" s="73">
        <f t="shared" si="8"/>
        <v>6554.35825</v>
      </c>
      <c r="P62" s="84"/>
      <c r="Q62" s="92"/>
      <c r="R62" s="24">
        <v>6.7397</v>
      </c>
      <c r="S62" s="73">
        <v>9458</v>
      </c>
      <c r="T62" s="73"/>
      <c r="U62" s="73">
        <f t="shared" si="13"/>
        <v>260095</v>
      </c>
      <c r="V62" s="24" t="s">
        <v>1060</v>
      </c>
      <c r="W62" s="24" t="s">
        <v>155</v>
      </c>
      <c r="X62" s="90" t="s">
        <v>835</v>
      </c>
      <c r="Y62" s="106"/>
      <c r="Z62" s="106"/>
      <c r="AA62" s="105"/>
      <c r="AB62" s="24"/>
      <c r="AC62" s="24"/>
      <c r="AD62" s="24"/>
      <c r="AE62" s="24"/>
      <c r="AF62" s="24"/>
      <c r="AG62" s="24"/>
      <c r="AH62" s="24"/>
    </row>
    <row r="63" s="34" customFormat="1" ht="13.85" spans="1:34">
      <c r="A63" s="24" t="s">
        <v>1139</v>
      </c>
      <c r="B63" s="24" t="s">
        <v>1105</v>
      </c>
      <c r="C63" s="51" t="s">
        <v>1140</v>
      </c>
      <c r="D63" s="24" t="s">
        <v>1141</v>
      </c>
      <c r="E63" s="71">
        <v>46269</v>
      </c>
      <c r="F63" s="24" t="s">
        <v>1067</v>
      </c>
      <c r="G63" s="24">
        <v>27.5</v>
      </c>
      <c r="H63" s="72">
        <v>1360</v>
      </c>
      <c r="I63" s="72">
        <f t="shared" ref="I63:I77" si="15">G63*H63</f>
        <v>37400</v>
      </c>
      <c r="J63" s="24">
        <f>长科出库!E194</f>
        <v>27.5</v>
      </c>
      <c r="K63" s="24">
        <f t="shared" ref="K63:K77" si="16">G63-J63</f>
        <v>0</v>
      </c>
      <c r="L63" s="72">
        <v>0</v>
      </c>
      <c r="M63" s="72">
        <f t="shared" ref="M63:M77" si="17">I63-L63</f>
        <v>37400</v>
      </c>
      <c r="N63" s="72">
        <f t="shared" ref="N63:N77" si="18">H63*J63-L63</f>
        <v>37400</v>
      </c>
      <c r="O63" s="73">
        <f t="shared" ref="O63:O77" si="19">N63*R63</f>
        <v>252076</v>
      </c>
      <c r="P63" s="72">
        <v>0</v>
      </c>
      <c r="Q63" s="72">
        <f t="shared" ref="Q63:Q77" si="20">P63*G63</f>
        <v>0</v>
      </c>
      <c r="R63" s="24">
        <v>6.74</v>
      </c>
      <c r="S63" s="78">
        <v>9329</v>
      </c>
      <c r="T63" s="73"/>
      <c r="U63" s="73">
        <f t="shared" ref="U63:U77" si="21">S63*G63</f>
        <v>256547.5</v>
      </c>
      <c r="V63" s="24" t="s">
        <v>1060</v>
      </c>
      <c r="W63" s="24" t="s">
        <v>155</v>
      </c>
      <c r="X63" s="24" t="s">
        <v>824</v>
      </c>
      <c r="Y63" s="98">
        <v>2950</v>
      </c>
      <c r="Z63" s="98">
        <v>40</v>
      </c>
      <c r="AA63" s="105">
        <v>5000</v>
      </c>
      <c r="AB63" s="24"/>
      <c r="AC63" s="24"/>
      <c r="AD63" s="24"/>
      <c r="AE63" s="24"/>
      <c r="AF63" s="24"/>
      <c r="AG63" s="24"/>
      <c r="AH63" s="24"/>
    </row>
    <row r="64" s="34" customFormat="1" ht="13" customHeight="1" spans="1:34">
      <c r="A64" s="24" t="s">
        <v>25</v>
      </c>
      <c r="B64" s="24" t="s">
        <v>809</v>
      </c>
      <c r="C64" s="51" t="s">
        <v>1111</v>
      </c>
      <c r="D64" s="24" t="s">
        <v>1142</v>
      </c>
      <c r="E64" s="71">
        <v>46270</v>
      </c>
      <c r="F64" s="24" t="s">
        <v>1067</v>
      </c>
      <c r="G64" s="24">
        <v>27.5</v>
      </c>
      <c r="H64" s="72">
        <v>1350</v>
      </c>
      <c r="I64" s="72">
        <f t="shared" si="15"/>
        <v>37125</v>
      </c>
      <c r="J64" s="24">
        <v>27.5</v>
      </c>
      <c r="K64" s="24">
        <f t="shared" si="16"/>
        <v>0</v>
      </c>
      <c r="L64" s="72">
        <v>0</v>
      </c>
      <c r="M64" s="72">
        <f t="shared" si="17"/>
        <v>37125</v>
      </c>
      <c r="N64" s="72">
        <f t="shared" si="18"/>
        <v>37125</v>
      </c>
      <c r="O64" s="73">
        <f t="shared" si="19"/>
        <v>250211.3625</v>
      </c>
      <c r="P64" s="72">
        <v>10</v>
      </c>
      <c r="Q64" s="72">
        <f t="shared" si="20"/>
        <v>275</v>
      </c>
      <c r="R64" s="24">
        <v>6.7397</v>
      </c>
      <c r="S64" s="73">
        <v>9430</v>
      </c>
      <c r="T64" s="73"/>
      <c r="U64" s="73">
        <f t="shared" si="21"/>
        <v>259325</v>
      </c>
      <c r="V64" s="24" t="s">
        <v>1060</v>
      </c>
      <c r="W64" s="24" t="s">
        <v>155</v>
      </c>
      <c r="X64" s="24" t="s">
        <v>824</v>
      </c>
      <c r="Y64" s="102">
        <v>2130</v>
      </c>
      <c r="Z64" s="102">
        <v>41</v>
      </c>
      <c r="AA64" s="105">
        <v>5000</v>
      </c>
      <c r="AB64" s="24"/>
      <c r="AC64" s="24"/>
      <c r="AD64" s="24"/>
      <c r="AE64" s="24"/>
      <c r="AF64" s="24"/>
      <c r="AG64" s="24"/>
      <c r="AH64" s="24"/>
    </row>
    <row r="65" s="34" customFormat="1" ht="13.85" spans="1:34">
      <c r="A65" s="107" t="s">
        <v>37</v>
      </c>
      <c r="B65" s="107" t="s">
        <v>183</v>
      </c>
      <c r="C65" s="108" t="s">
        <v>1143</v>
      </c>
      <c r="D65" s="107" t="s">
        <v>1144</v>
      </c>
      <c r="E65" s="109">
        <v>46295</v>
      </c>
      <c r="F65" s="107" t="s">
        <v>1077</v>
      </c>
      <c r="G65" s="107">
        <v>420</v>
      </c>
      <c r="H65" s="100">
        <v>1010</v>
      </c>
      <c r="I65" s="100">
        <f t="shared" si="15"/>
        <v>424200</v>
      </c>
      <c r="J65" s="107">
        <f>100+140+180</f>
        <v>420</v>
      </c>
      <c r="K65" s="107">
        <f t="shared" si="16"/>
        <v>0</v>
      </c>
      <c r="L65" s="100">
        <f>长科收款!E58</f>
        <v>424200</v>
      </c>
      <c r="M65" s="100">
        <f t="shared" si="17"/>
        <v>0</v>
      </c>
      <c r="N65" s="100">
        <f t="shared" si="18"/>
        <v>0</v>
      </c>
      <c r="O65" s="101">
        <f t="shared" si="19"/>
        <v>0</v>
      </c>
      <c r="P65" s="100">
        <v>0</v>
      </c>
      <c r="Q65" s="100">
        <f t="shared" si="20"/>
        <v>0</v>
      </c>
      <c r="R65" s="107">
        <v>6.735</v>
      </c>
      <c r="S65" s="101">
        <v>6407</v>
      </c>
      <c r="T65" s="101"/>
      <c r="U65" s="101">
        <f t="shared" si="21"/>
        <v>2690940</v>
      </c>
      <c r="V65" s="107" t="s">
        <v>845</v>
      </c>
      <c r="W65" s="107" t="s">
        <v>246</v>
      </c>
      <c r="X65" s="107" t="s">
        <v>1145</v>
      </c>
      <c r="Y65" s="102">
        <f>21*580</f>
        <v>12180</v>
      </c>
      <c r="Z65" s="102">
        <v>0</v>
      </c>
      <c r="AA65" s="105">
        <f>21*4000</f>
        <v>84000</v>
      </c>
      <c r="AB65" s="107"/>
      <c r="AC65" s="107"/>
      <c r="AD65" s="107"/>
      <c r="AE65" s="107"/>
      <c r="AF65" s="107"/>
      <c r="AG65" s="107"/>
      <c r="AH65" s="107"/>
    </row>
    <row r="66" s="9" customFormat="1" ht="13.85" spans="1:34">
      <c r="A66" s="24" t="s">
        <v>25</v>
      </c>
      <c r="B66" s="24" t="s">
        <v>809</v>
      </c>
      <c r="C66" s="51" t="s">
        <v>825</v>
      </c>
      <c r="D66" s="24" t="s">
        <v>1146</v>
      </c>
      <c r="E66" s="71">
        <v>46276</v>
      </c>
      <c r="F66" s="24" t="s">
        <v>1063</v>
      </c>
      <c r="G66" s="24">
        <v>110</v>
      </c>
      <c r="H66" s="72">
        <v>1340</v>
      </c>
      <c r="I66" s="72">
        <f t="shared" si="15"/>
        <v>147400</v>
      </c>
      <c r="J66" s="24">
        <v>110</v>
      </c>
      <c r="K66" s="24">
        <f t="shared" si="16"/>
        <v>0</v>
      </c>
      <c r="L66" s="72">
        <v>0</v>
      </c>
      <c r="M66" s="72">
        <f t="shared" si="17"/>
        <v>147400</v>
      </c>
      <c r="N66" s="72">
        <f t="shared" si="18"/>
        <v>147400</v>
      </c>
      <c r="O66" s="73">
        <f t="shared" si="19"/>
        <v>992665.3</v>
      </c>
      <c r="P66" s="72">
        <v>5</v>
      </c>
      <c r="Q66" s="72">
        <f t="shared" si="20"/>
        <v>550</v>
      </c>
      <c r="R66" s="24">
        <v>6.7345</v>
      </c>
      <c r="S66" s="73">
        <v>9403</v>
      </c>
      <c r="T66" s="73"/>
      <c r="U66" s="73">
        <f t="shared" si="21"/>
        <v>1034330</v>
      </c>
      <c r="V66" s="24" t="s">
        <v>1060</v>
      </c>
      <c r="W66" s="24" t="s">
        <v>155</v>
      </c>
      <c r="X66" s="24" t="s">
        <v>824</v>
      </c>
      <c r="Y66" s="72">
        <f>4*2050</f>
        <v>8200</v>
      </c>
      <c r="Z66" s="72">
        <f>4*41</f>
        <v>164</v>
      </c>
      <c r="AA66" s="105">
        <f>4*5000</f>
        <v>20000</v>
      </c>
      <c r="AB66" s="24"/>
      <c r="AC66" s="24"/>
      <c r="AD66" s="24"/>
      <c r="AE66" s="24"/>
      <c r="AF66" s="24"/>
      <c r="AG66" s="24"/>
      <c r="AH66" s="24"/>
    </row>
    <row r="67" s="9" customFormat="1" ht="13.85" spans="1:34">
      <c r="A67" s="24" t="s">
        <v>25</v>
      </c>
      <c r="B67" s="24" t="s">
        <v>809</v>
      </c>
      <c r="C67" s="51" t="s">
        <v>1147</v>
      </c>
      <c r="D67" s="24" t="s">
        <v>1148</v>
      </c>
      <c r="E67" s="71">
        <v>46276</v>
      </c>
      <c r="F67" s="24" t="s">
        <v>1063</v>
      </c>
      <c r="G67" s="24">
        <v>55</v>
      </c>
      <c r="H67" s="72">
        <v>1360</v>
      </c>
      <c r="I67" s="72">
        <f t="shared" si="15"/>
        <v>74800</v>
      </c>
      <c r="J67" s="24">
        <v>55</v>
      </c>
      <c r="K67" s="24">
        <f t="shared" si="16"/>
        <v>0</v>
      </c>
      <c r="L67" s="72">
        <v>0</v>
      </c>
      <c r="M67" s="72">
        <f t="shared" si="17"/>
        <v>74800</v>
      </c>
      <c r="N67" s="72">
        <f t="shared" si="18"/>
        <v>74800</v>
      </c>
      <c r="O67" s="73">
        <f t="shared" si="19"/>
        <v>503740.6</v>
      </c>
      <c r="P67" s="72">
        <v>10</v>
      </c>
      <c r="Q67" s="72">
        <f t="shared" si="20"/>
        <v>550</v>
      </c>
      <c r="R67" s="24">
        <v>6.7345</v>
      </c>
      <c r="S67" s="73">
        <v>9521</v>
      </c>
      <c r="T67" s="73"/>
      <c r="U67" s="73">
        <f t="shared" si="21"/>
        <v>523655</v>
      </c>
      <c r="V67" s="24" t="s">
        <v>1060</v>
      </c>
      <c r="W67" s="24" t="s">
        <v>155</v>
      </c>
      <c r="X67" s="24" t="s">
        <v>824</v>
      </c>
      <c r="Y67" s="72">
        <f>2*2050</f>
        <v>4100</v>
      </c>
      <c r="Z67" s="72">
        <f>2*41</f>
        <v>82</v>
      </c>
      <c r="AA67" s="105">
        <f>2*5000</f>
        <v>10000</v>
      </c>
      <c r="AB67" s="24"/>
      <c r="AC67" s="24"/>
      <c r="AD67" s="24"/>
      <c r="AE67" s="24"/>
      <c r="AF67" s="24"/>
      <c r="AG67" s="24"/>
      <c r="AH67" s="24"/>
    </row>
    <row r="68" s="9" customFormat="1" ht="13.85" spans="1:34">
      <c r="A68" s="24" t="s">
        <v>25</v>
      </c>
      <c r="B68" s="24" t="s">
        <v>164</v>
      </c>
      <c r="C68" s="51" t="s">
        <v>833</v>
      </c>
      <c r="D68" s="24" t="s">
        <v>1149</v>
      </c>
      <c r="E68" s="71">
        <v>46276</v>
      </c>
      <c r="F68" s="24" t="s">
        <v>1067</v>
      </c>
      <c r="G68" s="24">
        <v>27.5</v>
      </c>
      <c r="H68" s="72">
        <v>1340</v>
      </c>
      <c r="I68" s="72">
        <f t="shared" si="15"/>
        <v>36850</v>
      </c>
      <c r="J68" s="107">
        <v>27.5</v>
      </c>
      <c r="K68" s="24">
        <f t="shared" si="16"/>
        <v>0</v>
      </c>
      <c r="L68" s="72">
        <f>长科收款!E59+长科收款!E85</f>
        <v>36772</v>
      </c>
      <c r="M68" s="72">
        <f t="shared" si="17"/>
        <v>78</v>
      </c>
      <c r="N68" s="72">
        <f t="shared" si="18"/>
        <v>78</v>
      </c>
      <c r="O68" s="73">
        <f t="shared" si="19"/>
        <v>525.291</v>
      </c>
      <c r="P68" s="72">
        <v>0</v>
      </c>
      <c r="Q68" s="72">
        <f t="shared" si="20"/>
        <v>0</v>
      </c>
      <c r="R68" s="24">
        <v>6.7345</v>
      </c>
      <c r="S68" s="73">
        <v>9409</v>
      </c>
      <c r="T68" s="73"/>
      <c r="U68" s="73">
        <f t="shared" si="21"/>
        <v>258747.5</v>
      </c>
      <c r="V68" s="24" t="s">
        <v>1060</v>
      </c>
      <c r="W68" s="24" t="s">
        <v>155</v>
      </c>
      <c r="X68" s="24" t="s">
        <v>835</v>
      </c>
      <c r="Y68" s="72">
        <f>2150*2</f>
        <v>4300</v>
      </c>
      <c r="Z68" s="72">
        <f>41*2</f>
        <v>82</v>
      </c>
      <c r="AA68" s="105">
        <f>5000*2</f>
        <v>10000</v>
      </c>
      <c r="AB68" s="24"/>
      <c r="AC68" s="24"/>
      <c r="AD68" s="24"/>
      <c r="AE68" s="24"/>
      <c r="AF68" s="24"/>
      <c r="AG68" s="24"/>
      <c r="AH68" s="24"/>
    </row>
    <row r="69" s="9" customFormat="1" ht="13.85" spans="1:34">
      <c r="A69" s="24" t="s">
        <v>25</v>
      </c>
      <c r="B69" s="24" t="s">
        <v>164</v>
      </c>
      <c r="C69" s="51" t="s">
        <v>833</v>
      </c>
      <c r="D69" s="24" t="s">
        <v>1149</v>
      </c>
      <c r="E69" s="71">
        <v>46276</v>
      </c>
      <c r="F69" s="24" t="s">
        <v>1062</v>
      </c>
      <c r="G69" s="24">
        <v>27.5</v>
      </c>
      <c r="H69" s="72">
        <v>1290</v>
      </c>
      <c r="I69" s="72">
        <f t="shared" si="15"/>
        <v>35475</v>
      </c>
      <c r="J69" s="107">
        <v>27.5</v>
      </c>
      <c r="K69" s="24">
        <f t="shared" si="16"/>
        <v>0</v>
      </c>
      <c r="L69" s="72">
        <f>长科收款!E60+长科收款!E84</f>
        <v>35397</v>
      </c>
      <c r="M69" s="72">
        <f t="shared" si="17"/>
        <v>78</v>
      </c>
      <c r="N69" s="72">
        <f t="shared" si="18"/>
        <v>78</v>
      </c>
      <c r="O69" s="73">
        <f t="shared" si="19"/>
        <v>525.291</v>
      </c>
      <c r="P69" s="72">
        <v>0</v>
      </c>
      <c r="Q69" s="72">
        <f t="shared" si="20"/>
        <v>0</v>
      </c>
      <c r="R69" s="24">
        <v>6.7345</v>
      </c>
      <c r="S69" s="73">
        <v>9028</v>
      </c>
      <c r="T69" s="73"/>
      <c r="U69" s="73">
        <f t="shared" si="21"/>
        <v>248270</v>
      </c>
      <c r="V69" s="24" t="s">
        <v>1060</v>
      </c>
      <c r="W69" s="24" t="s">
        <v>155</v>
      </c>
      <c r="X69" s="24" t="s">
        <v>835</v>
      </c>
      <c r="Y69" s="72"/>
      <c r="Z69" s="72"/>
      <c r="AA69" s="105"/>
      <c r="AB69" s="24"/>
      <c r="AC69" s="24"/>
      <c r="AD69" s="24"/>
      <c r="AE69" s="24"/>
      <c r="AF69" s="24"/>
      <c r="AG69" s="24"/>
      <c r="AH69" s="24"/>
    </row>
    <row r="70" s="9" customFormat="1" ht="13.85" spans="1:34">
      <c r="A70" s="24" t="s">
        <v>37</v>
      </c>
      <c r="B70" s="24" t="s">
        <v>183</v>
      </c>
      <c r="C70" s="51" t="s">
        <v>1096</v>
      </c>
      <c r="D70" s="24" t="s">
        <v>1150</v>
      </c>
      <c r="E70" s="71">
        <v>46277</v>
      </c>
      <c r="F70" s="24" t="s">
        <v>1067</v>
      </c>
      <c r="G70" s="24">
        <v>108</v>
      </c>
      <c r="H70" s="72">
        <v>1244</v>
      </c>
      <c r="I70" s="72">
        <f t="shared" si="15"/>
        <v>134352</v>
      </c>
      <c r="J70" s="24">
        <v>108</v>
      </c>
      <c r="K70" s="24">
        <f t="shared" si="16"/>
        <v>0</v>
      </c>
      <c r="L70" s="72">
        <f>长科收款!E63</f>
        <v>134352</v>
      </c>
      <c r="M70" s="72">
        <f t="shared" si="17"/>
        <v>0</v>
      </c>
      <c r="N70" s="72">
        <f t="shared" si="18"/>
        <v>0</v>
      </c>
      <c r="O70" s="73">
        <f t="shared" si="19"/>
        <v>0</v>
      </c>
      <c r="P70" s="72">
        <v>0</v>
      </c>
      <c r="Q70" s="72">
        <f t="shared" si="20"/>
        <v>0</v>
      </c>
      <c r="R70" s="24">
        <v>6.7345</v>
      </c>
      <c r="S70" s="73">
        <v>9300</v>
      </c>
      <c r="T70" s="73"/>
      <c r="U70" s="73">
        <f t="shared" si="21"/>
        <v>1004400</v>
      </c>
      <c r="V70" s="24" t="s">
        <v>1060</v>
      </c>
      <c r="W70" s="24" t="s">
        <v>190</v>
      </c>
      <c r="X70" s="24" t="s">
        <v>1072</v>
      </c>
      <c r="Y70" s="72">
        <v>0</v>
      </c>
      <c r="Z70" s="72">
        <f>0</f>
        <v>0</v>
      </c>
      <c r="AA70" s="105">
        <f>4*4500</f>
        <v>18000</v>
      </c>
      <c r="AB70" s="24"/>
      <c r="AC70" s="24"/>
      <c r="AD70" s="24"/>
      <c r="AE70" s="24"/>
      <c r="AF70" s="24"/>
      <c r="AG70" s="24"/>
      <c r="AH70" s="24"/>
    </row>
    <row r="71" s="9" customFormat="1" ht="13.85" spans="1:34">
      <c r="A71" s="24" t="s">
        <v>37</v>
      </c>
      <c r="B71" s="24" t="s">
        <v>183</v>
      </c>
      <c r="C71" s="51" t="s">
        <v>1096</v>
      </c>
      <c r="D71" s="24" t="s">
        <v>1151</v>
      </c>
      <c r="E71" s="71">
        <v>46277</v>
      </c>
      <c r="F71" s="24" t="s">
        <v>1067</v>
      </c>
      <c r="G71" s="24">
        <v>108</v>
      </c>
      <c r="H71" s="72">
        <v>1244</v>
      </c>
      <c r="I71" s="72">
        <f t="shared" si="15"/>
        <v>134352</v>
      </c>
      <c r="J71" s="24">
        <v>108</v>
      </c>
      <c r="K71" s="24">
        <f t="shared" si="16"/>
        <v>0</v>
      </c>
      <c r="L71" s="72">
        <f>长科收款!E67</f>
        <v>134352</v>
      </c>
      <c r="M71" s="72">
        <f t="shared" si="17"/>
        <v>0</v>
      </c>
      <c r="N71" s="72">
        <f t="shared" si="18"/>
        <v>0</v>
      </c>
      <c r="O71" s="73">
        <f t="shared" si="19"/>
        <v>0</v>
      </c>
      <c r="P71" s="72">
        <v>0</v>
      </c>
      <c r="Q71" s="72">
        <f t="shared" si="20"/>
        <v>0</v>
      </c>
      <c r="R71" s="24">
        <v>7.7345</v>
      </c>
      <c r="S71" s="73">
        <v>9301</v>
      </c>
      <c r="T71" s="73"/>
      <c r="U71" s="73">
        <f t="shared" si="21"/>
        <v>1004508</v>
      </c>
      <c r="V71" s="24" t="s">
        <v>1060</v>
      </c>
      <c r="W71" s="24" t="s">
        <v>190</v>
      </c>
      <c r="X71" s="24" t="s">
        <v>1072</v>
      </c>
      <c r="Y71" s="72">
        <v>0</v>
      </c>
      <c r="Z71" s="72">
        <f>0</f>
        <v>0</v>
      </c>
      <c r="AA71" s="105">
        <f>4*4500</f>
        <v>18000</v>
      </c>
      <c r="AB71" s="24"/>
      <c r="AC71" s="24"/>
      <c r="AD71" s="24"/>
      <c r="AE71" s="24"/>
      <c r="AF71" s="24"/>
      <c r="AG71" s="24"/>
      <c r="AH71" s="24"/>
    </row>
    <row r="72" s="9" customFormat="1" ht="13" customHeight="1" spans="1:34">
      <c r="A72" s="24" t="s">
        <v>1139</v>
      </c>
      <c r="B72" s="24" t="s">
        <v>173</v>
      </c>
      <c r="C72" s="51" t="s">
        <v>1152</v>
      </c>
      <c r="D72" s="24" t="s">
        <v>1153</v>
      </c>
      <c r="E72" s="71">
        <v>46277</v>
      </c>
      <c r="F72" s="24" t="s">
        <v>1067</v>
      </c>
      <c r="G72" s="24">
        <v>27.5</v>
      </c>
      <c r="H72" s="72">
        <v>1375</v>
      </c>
      <c r="I72" s="72">
        <f t="shared" si="15"/>
        <v>37812.5</v>
      </c>
      <c r="J72" s="24">
        <v>27.5</v>
      </c>
      <c r="K72" s="24">
        <f t="shared" si="16"/>
        <v>0</v>
      </c>
      <c r="L72" s="72">
        <f>长科收款!E62+长科收款!E80</f>
        <v>37812.5</v>
      </c>
      <c r="M72" s="72">
        <f t="shared" si="17"/>
        <v>0</v>
      </c>
      <c r="N72" s="72">
        <f t="shared" si="18"/>
        <v>0</v>
      </c>
      <c r="O72" s="73">
        <f t="shared" si="19"/>
        <v>0</v>
      </c>
      <c r="P72" s="72">
        <v>0</v>
      </c>
      <c r="Q72" s="72">
        <f t="shared" si="20"/>
        <v>0</v>
      </c>
      <c r="R72" s="24">
        <v>6.73</v>
      </c>
      <c r="S72" s="78">
        <v>9651</v>
      </c>
      <c r="T72" s="73"/>
      <c r="U72" s="73">
        <f t="shared" si="21"/>
        <v>265402.5</v>
      </c>
      <c r="V72" s="24" t="s">
        <v>1060</v>
      </c>
      <c r="W72" s="24" t="s">
        <v>155</v>
      </c>
      <c r="X72" s="24" t="s">
        <v>824</v>
      </c>
      <c r="Y72" s="69">
        <v>2200</v>
      </c>
      <c r="Z72" s="69">
        <v>40</v>
      </c>
      <c r="AA72" s="105">
        <v>5000</v>
      </c>
      <c r="AB72" s="24"/>
      <c r="AC72" s="24"/>
      <c r="AD72" s="24"/>
      <c r="AE72" s="24"/>
      <c r="AF72" s="24"/>
      <c r="AG72" s="24"/>
      <c r="AH72" s="24"/>
    </row>
    <row r="73" s="9" customFormat="1" ht="13" customHeight="1" spans="1:34">
      <c r="A73" s="24" t="s">
        <v>25</v>
      </c>
      <c r="B73" s="24" t="s">
        <v>809</v>
      </c>
      <c r="C73" s="51" t="s">
        <v>1094</v>
      </c>
      <c r="D73" s="24" t="s">
        <v>1154</v>
      </c>
      <c r="E73" s="71">
        <v>46279</v>
      </c>
      <c r="F73" s="24" t="s">
        <v>1062</v>
      </c>
      <c r="G73" s="24">
        <v>84</v>
      </c>
      <c r="H73" s="72">
        <v>1325</v>
      </c>
      <c r="I73" s="72">
        <f t="shared" si="15"/>
        <v>111300</v>
      </c>
      <c r="J73" s="24">
        <v>84</v>
      </c>
      <c r="K73" s="24">
        <f t="shared" si="16"/>
        <v>0</v>
      </c>
      <c r="L73" s="72">
        <v>0</v>
      </c>
      <c r="M73" s="72">
        <f t="shared" si="17"/>
        <v>111300</v>
      </c>
      <c r="N73" s="72">
        <f t="shared" si="18"/>
        <v>111300</v>
      </c>
      <c r="O73" s="73">
        <f t="shared" si="19"/>
        <v>749549.85</v>
      </c>
      <c r="P73" s="72">
        <v>5</v>
      </c>
      <c r="Q73" s="72">
        <f t="shared" si="20"/>
        <v>420</v>
      </c>
      <c r="R73" s="24">
        <v>6.7345</v>
      </c>
      <c r="S73" s="73">
        <v>9220</v>
      </c>
      <c r="T73" s="73"/>
      <c r="U73" s="73">
        <f t="shared" si="21"/>
        <v>774480</v>
      </c>
      <c r="V73" s="24" t="s">
        <v>1155</v>
      </c>
      <c r="W73" s="24" t="s">
        <v>155</v>
      </c>
      <c r="X73" s="24" t="s">
        <v>824</v>
      </c>
      <c r="Y73" s="72">
        <f>3*2300</f>
        <v>6900</v>
      </c>
      <c r="Z73" s="72">
        <f>3*40</f>
        <v>120</v>
      </c>
      <c r="AA73" s="105">
        <f>3*5000</f>
        <v>15000</v>
      </c>
      <c r="AB73" s="24"/>
      <c r="AC73" s="24"/>
      <c r="AD73" s="24"/>
      <c r="AE73" s="24"/>
      <c r="AF73" s="24"/>
      <c r="AG73" s="24"/>
      <c r="AH73" s="24"/>
    </row>
    <row r="74" s="9" customFormat="1" ht="13" customHeight="1" spans="1:34">
      <c r="A74" s="24" t="s">
        <v>25</v>
      </c>
      <c r="B74" s="24" t="s">
        <v>1156</v>
      </c>
      <c r="C74" s="51" t="s">
        <v>1094</v>
      </c>
      <c r="D74" s="24" t="s">
        <v>1157</v>
      </c>
      <c r="E74" s="71">
        <v>46279</v>
      </c>
      <c r="F74" s="24" t="s">
        <v>1062</v>
      </c>
      <c r="G74" s="24">
        <v>84</v>
      </c>
      <c r="H74" s="72">
        <v>1325</v>
      </c>
      <c r="I74" s="72">
        <f t="shared" si="15"/>
        <v>111300</v>
      </c>
      <c r="J74" s="24">
        <v>84</v>
      </c>
      <c r="K74" s="24">
        <f t="shared" si="16"/>
        <v>0</v>
      </c>
      <c r="L74" s="72">
        <v>0</v>
      </c>
      <c r="M74" s="72">
        <f t="shared" si="17"/>
        <v>111300</v>
      </c>
      <c r="N74" s="72">
        <f t="shared" si="18"/>
        <v>111300</v>
      </c>
      <c r="O74" s="73">
        <f t="shared" si="19"/>
        <v>749549.85</v>
      </c>
      <c r="P74" s="72">
        <v>5</v>
      </c>
      <c r="Q74" s="72">
        <f t="shared" si="20"/>
        <v>420</v>
      </c>
      <c r="R74" s="24">
        <v>6.7345</v>
      </c>
      <c r="S74" s="73">
        <v>9220</v>
      </c>
      <c r="T74" s="73"/>
      <c r="U74" s="73">
        <f t="shared" si="21"/>
        <v>774480</v>
      </c>
      <c r="V74" s="24" t="s">
        <v>1155</v>
      </c>
      <c r="W74" s="24" t="s">
        <v>155</v>
      </c>
      <c r="X74" s="24" t="s">
        <v>824</v>
      </c>
      <c r="Y74" s="72">
        <f>3*2300</f>
        <v>6900</v>
      </c>
      <c r="Z74" s="72">
        <f>3*40</f>
        <v>120</v>
      </c>
      <c r="AA74" s="105">
        <f>3*5000</f>
        <v>15000</v>
      </c>
      <c r="AB74" s="24"/>
      <c r="AC74" s="24"/>
      <c r="AD74" s="24"/>
      <c r="AE74" s="24"/>
      <c r="AF74" s="24"/>
      <c r="AG74" s="24"/>
      <c r="AH74" s="24"/>
    </row>
    <row r="75" s="9" customFormat="1" ht="14" customHeight="1" spans="1:34">
      <c r="A75" s="24" t="s">
        <v>25</v>
      </c>
      <c r="B75" s="24" t="s">
        <v>809</v>
      </c>
      <c r="C75" s="51" t="s">
        <v>1158</v>
      </c>
      <c r="D75" s="24" t="s">
        <v>1159</v>
      </c>
      <c r="E75" s="71">
        <v>46279</v>
      </c>
      <c r="F75" s="24" t="s">
        <v>1062</v>
      </c>
      <c r="G75" s="24">
        <v>165</v>
      </c>
      <c r="H75" s="72">
        <v>1325</v>
      </c>
      <c r="I75" s="72">
        <f t="shared" si="15"/>
        <v>218625</v>
      </c>
      <c r="J75" s="24">
        <f>137.5+27.5</f>
        <v>165</v>
      </c>
      <c r="K75" s="24">
        <f t="shared" si="16"/>
        <v>0</v>
      </c>
      <c r="L75" s="72">
        <v>0</v>
      </c>
      <c r="M75" s="72">
        <f t="shared" si="17"/>
        <v>218625</v>
      </c>
      <c r="N75" s="72">
        <f t="shared" si="18"/>
        <v>218625</v>
      </c>
      <c r="O75" s="73">
        <f t="shared" si="19"/>
        <v>1472330.0625</v>
      </c>
      <c r="P75" s="72">
        <v>5</v>
      </c>
      <c r="Q75" s="72">
        <f t="shared" si="20"/>
        <v>825</v>
      </c>
      <c r="R75" s="24">
        <v>6.7345</v>
      </c>
      <c r="S75" s="73">
        <v>9220</v>
      </c>
      <c r="T75" s="73"/>
      <c r="U75" s="73">
        <f t="shared" si="21"/>
        <v>1521300</v>
      </c>
      <c r="V75" s="24" t="s">
        <v>1060</v>
      </c>
      <c r="W75" s="24" t="s">
        <v>155</v>
      </c>
      <c r="X75" s="24" t="s">
        <v>824</v>
      </c>
      <c r="Y75" s="72">
        <f>6*2300</f>
        <v>13800</v>
      </c>
      <c r="Z75" s="72">
        <f>6*40</f>
        <v>240</v>
      </c>
      <c r="AA75" s="105">
        <f>6*5000</f>
        <v>30000</v>
      </c>
      <c r="AB75" s="24"/>
      <c r="AC75" s="24"/>
      <c r="AD75" s="24"/>
      <c r="AE75" s="24"/>
      <c r="AF75" s="24"/>
      <c r="AG75" s="24"/>
      <c r="AH75" s="24"/>
    </row>
    <row r="76" s="9" customFormat="1" ht="14" customHeight="1" spans="1:34">
      <c r="A76" s="24" t="s">
        <v>1139</v>
      </c>
      <c r="B76" s="24" t="s">
        <v>173</v>
      </c>
      <c r="C76" s="51" t="s">
        <v>1065</v>
      </c>
      <c r="D76" s="24" t="s">
        <v>1160</v>
      </c>
      <c r="E76" s="71">
        <v>46279</v>
      </c>
      <c r="F76" s="24" t="s">
        <v>1067</v>
      </c>
      <c r="G76" s="24">
        <v>27.5</v>
      </c>
      <c r="H76" s="72">
        <v>1285</v>
      </c>
      <c r="I76" s="72">
        <f t="shared" si="15"/>
        <v>35337.5</v>
      </c>
      <c r="J76" s="24">
        <v>27.5</v>
      </c>
      <c r="K76" s="24">
        <f t="shared" si="16"/>
        <v>0</v>
      </c>
      <c r="L76" s="72">
        <f>长科收款!E66</f>
        <v>10601.25</v>
      </c>
      <c r="M76" s="72">
        <f t="shared" si="17"/>
        <v>24736.25</v>
      </c>
      <c r="N76" s="72">
        <f t="shared" si="18"/>
        <v>24736.25</v>
      </c>
      <c r="O76" s="73">
        <f t="shared" si="19"/>
        <v>166435.3845</v>
      </c>
      <c r="P76" s="72">
        <v>0</v>
      </c>
      <c r="Q76" s="72">
        <f t="shared" si="20"/>
        <v>0</v>
      </c>
      <c r="R76" s="24">
        <v>6.7284</v>
      </c>
      <c r="S76" s="73">
        <v>9566</v>
      </c>
      <c r="T76" s="73"/>
      <c r="U76" s="73">
        <f t="shared" si="21"/>
        <v>263065</v>
      </c>
      <c r="V76" s="24" t="s">
        <v>1060</v>
      </c>
      <c r="W76" s="24" t="s">
        <v>190</v>
      </c>
      <c r="X76" s="24" t="s">
        <v>1072</v>
      </c>
      <c r="Y76" s="72">
        <v>0</v>
      </c>
      <c r="Z76" s="72">
        <f>0</f>
        <v>0</v>
      </c>
      <c r="AA76" s="105">
        <v>5500</v>
      </c>
      <c r="AB76" s="24"/>
      <c r="AC76" s="24"/>
      <c r="AD76" s="24"/>
      <c r="AE76" s="24"/>
      <c r="AF76" s="24"/>
      <c r="AG76" s="24"/>
      <c r="AH76" s="24"/>
    </row>
    <row r="77" s="9" customFormat="1" ht="14" customHeight="1" spans="1:34">
      <c r="A77" s="24" t="s">
        <v>37</v>
      </c>
      <c r="B77" s="24" t="s">
        <v>183</v>
      </c>
      <c r="C77" s="51" t="s">
        <v>1143</v>
      </c>
      <c r="D77" s="24" t="s">
        <v>1161</v>
      </c>
      <c r="E77" s="71">
        <v>46295</v>
      </c>
      <c r="F77" s="24" t="s">
        <v>1077</v>
      </c>
      <c r="G77" s="24">
        <v>200</v>
      </c>
      <c r="H77" s="72">
        <v>1040</v>
      </c>
      <c r="I77" s="72">
        <f t="shared" si="15"/>
        <v>208000</v>
      </c>
      <c r="J77" s="24">
        <v>200</v>
      </c>
      <c r="K77" s="24">
        <f t="shared" si="16"/>
        <v>0</v>
      </c>
      <c r="L77" s="72">
        <f>长科收款!E69</f>
        <v>208000</v>
      </c>
      <c r="M77" s="72">
        <f t="shared" si="17"/>
        <v>0</v>
      </c>
      <c r="N77" s="72">
        <f t="shared" si="18"/>
        <v>0</v>
      </c>
      <c r="O77" s="73">
        <f t="shared" si="19"/>
        <v>0</v>
      </c>
      <c r="P77" s="72">
        <v>0</v>
      </c>
      <c r="Q77" s="72">
        <f t="shared" si="20"/>
        <v>0</v>
      </c>
      <c r="R77" s="24">
        <v>6.725</v>
      </c>
      <c r="S77" s="73">
        <v>6614</v>
      </c>
      <c r="T77" s="73"/>
      <c r="U77" s="73">
        <f t="shared" si="21"/>
        <v>1322800</v>
      </c>
      <c r="V77" s="24" t="s">
        <v>845</v>
      </c>
      <c r="W77" s="24" t="s">
        <v>155</v>
      </c>
      <c r="X77" s="24" t="s">
        <v>198</v>
      </c>
      <c r="Y77" s="72">
        <f>580*10</f>
        <v>5800</v>
      </c>
      <c r="Z77" s="72">
        <f>0</f>
        <v>0</v>
      </c>
      <c r="AA77" s="105">
        <f>4000*10</f>
        <v>40000</v>
      </c>
      <c r="AB77" s="24"/>
      <c r="AC77" s="24"/>
      <c r="AD77" s="24"/>
      <c r="AE77" s="24"/>
      <c r="AF77" s="24"/>
      <c r="AG77" s="24"/>
      <c r="AH77" s="24"/>
    </row>
    <row r="78" s="9" customFormat="1" ht="14" customHeight="1" spans="1:34">
      <c r="A78" s="24" t="s">
        <v>37</v>
      </c>
      <c r="B78" s="24" t="s">
        <v>183</v>
      </c>
      <c r="C78" s="51" t="s">
        <v>1143</v>
      </c>
      <c r="D78" s="24" t="s">
        <v>1162</v>
      </c>
      <c r="E78" s="71">
        <v>46295</v>
      </c>
      <c r="F78" s="24" t="s">
        <v>1086</v>
      </c>
      <c r="G78" s="24">
        <v>500</v>
      </c>
      <c r="H78" s="72">
        <v>1150</v>
      </c>
      <c r="I78" s="72">
        <f t="shared" ref="I78:I104" si="22">G78*H78</f>
        <v>575000</v>
      </c>
      <c r="J78" s="24">
        <v>500</v>
      </c>
      <c r="K78" s="24">
        <f t="shared" ref="K78:K104" si="23">G78-J78</f>
        <v>0</v>
      </c>
      <c r="L78" s="72">
        <f>长科收款!E72</f>
        <v>1150000</v>
      </c>
      <c r="M78" s="72">
        <f t="shared" ref="M78:M104" si="24">I78-L78</f>
        <v>-575000</v>
      </c>
      <c r="N78" s="72">
        <f t="shared" ref="N78:N104" si="25">H78*J78-L78</f>
        <v>-575000</v>
      </c>
      <c r="O78" s="73">
        <f t="shared" ref="O78:O104" si="26">N78*R78</f>
        <v>-3858250</v>
      </c>
      <c r="P78" s="72">
        <v>0</v>
      </c>
      <c r="Q78" s="72">
        <f t="shared" ref="Q78:Q103" si="27">P78*G78</f>
        <v>0</v>
      </c>
      <c r="R78" s="24">
        <v>6.71</v>
      </c>
      <c r="S78" s="73">
        <v>7313</v>
      </c>
      <c r="T78" s="73"/>
      <c r="U78" s="73">
        <f t="shared" ref="U78:U104" si="28">S78*G78</f>
        <v>3656500</v>
      </c>
      <c r="V78" s="24" t="s">
        <v>845</v>
      </c>
      <c r="W78" s="24" t="s">
        <v>155</v>
      </c>
      <c r="X78" s="24" t="s">
        <v>198</v>
      </c>
      <c r="Y78" s="100">
        <f>580*500</f>
        <v>290000</v>
      </c>
      <c r="Z78" s="72"/>
      <c r="AA78" s="105">
        <f>4000*500</f>
        <v>2000000</v>
      </c>
      <c r="AB78" s="24"/>
      <c r="AC78" s="24"/>
      <c r="AD78" s="24"/>
      <c r="AE78" s="24"/>
      <c r="AF78" s="24"/>
      <c r="AG78" s="24"/>
      <c r="AH78" s="24"/>
    </row>
    <row r="79" s="9" customFormat="1" ht="14" customHeight="1" spans="1:34">
      <c r="A79" s="24" t="s">
        <v>37</v>
      </c>
      <c r="B79" s="24" t="s">
        <v>183</v>
      </c>
      <c r="C79" s="51" t="s">
        <v>1143</v>
      </c>
      <c r="D79" s="24" t="s">
        <v>1162</v>
      </c>
      <c r="E79" s="71">
        <v>46295</v>
      </c>
      <c r="F79" s="24" t="s">
        <v>1089</v>
      </c>
      <c r="G79" s="24">
        <v>500</v>
      </c>
      <c r="H79" s="72">
        <v>1150</v>
      </c>
      <c r="I79" s="72">
        <f t="shared" si="22"/>
        <v>575000</v>
      </c>
      <c r="J79" s="24">
        <v>500</v>
      </c>
      <c r="K79" s="24">
        <f t="shared" si="23"/>
        <v>0</v>
      </c>
      <c r="L79" s="72">
        <f>长科收款!E72</f>
        <v>1150000</v>
      </c>
      <c r="M79" s="72">
        <f t="shared" si="24"/>
        <v>-575000</v>
      </c>
      <c r="N79" s="72">
        <f t="shared" si="25"/>
        <v>-575000</v>
      </c>
      <c r="O79" s="73">
        <f t="shared" si="26"/>
        <v>-3858250</v>
      </c>
      <c r="P79" s="72">
        <v>0</v>
      </c>
      <c r="Q79" s="72">
        <f t="shared" si="27"/>
        <v>0</v>
      </c>
      <c r="R79" s="24">
        <v>6.71</v>
      </c>
      <c r="S79" s="73">
        <v>7313</v>
      </c>
      <c r="T79" s="73"/>
      <c r="U79" s="73">
        <f t="shared" si="28"/>
        <v>3656500</v>
      </c>
      <c r="V79" s="24" t="s">
        <v>845</v>
      </c>
      <c r="W79" s="24" t="s">
        <v>155</v>
      </c>
      <c r="X79" s="24" t="s">
        <v>198</v>
      </c>
      <c r="Y79" s="104"/>
      <c r="Z79" s="72"/>
      <c r="AA79" s="105"/>
      <c r="AB79" s="24"/>
      <c r="AC79" s="24"/>
      <c r="AD79" s="24"/>
      <c r="AE79" s="24"/>
      <c r="AF79" s="24"/>
      <c r="AG79" s="24"/>
      <c r="AH79" s="24"/>
    </row>
    <row r="80" s="9" customFormat="1" ht="14" customHeight="1" spans="1:34">
      <c r="A80" s="24" t="s">
        <v>25</v>
      </c>
      <c r="B80" s="24" t="s">
        <v>809</v>
      </c>
      <c r="C80" s="51" t="s">
        <v>825</v>
      </c>
      <c r="D80" s="24" t="s">
        <v>1163</v>
      </c>
      <c r="E80" s="71">
        <v>46290</v>
      </c>
      <c r="F80" s="24" t="s">
        <v>1059</v>
      </c>
      <c r="G80" s="24">
        <v>82.5</v>
      </c>
      <c r="H80" s="72">
        <v>1380</v>
      </c>
      <c r="I80" s="72">
        <f t="shared" si="22"/>
        <v>113850</v>
      </c>
      <c r="J80" s="24">
        <v>82.5</v>
      </c>
      <c r="K80" s="24">
        <f t="shared" si="23"/>
        <v>0</v>
      </c>
      <c r="L80" s="72">
        <v>0</v>
      </c>
      <c r="M80" s="72">
        <f t="shared" si="24"/>
        <v>113850</v>
      </c>
      <c r="N80" s="72">
        <f t="shared" si="25"/>
        <v>113850</v>
      </c>
      <c r="O80" s="73">
        <f t="shared" si="26"/>
        <v>763933.5</v>
      </c>
      <c r="P80" s="72">
        <v>5</v>
      </c>
      <c r="Q80" s="72">
        <f t="shared" si="27"/>
        <v>412.5</v>
      </c>
      <c r="R80" s="24">
        <v>6.71</v>
      </c>
      <c r="S80" s="73">
        <v>9265</v>
      </c>
      <c r="T80" s="73"/>
      <c r="U80" s="73">
        <f t="shared" si="28"/>
        <v>764362.5</v>
      </c>
      <c r="V80" s="24" t="s">
        <v>1060</v>
      </c>
      <c r="W80" s="24" t="s">
        <v>155</v>
      </c>
      <c r="X80" s="24" t="s">
        <v>824</v>
      </c>
      <c r="Y80" s="72">
        <f>3550*3</f>
        <v>10650</v>
      </c>
      <c r="Z80" s="72">
        <f>41*3</f>
        <v>123</v>
      </c>
      <c r="AA80" s="105">
        <f>5000*3</f>
        <v>15000</v>
      </c>
      <c r="AB80" s="24"/>
      <c r="AC80" s="24"/>
      <c r="AD80" s="24"/>
      <c r="AE80" s="24"/>
      <c r="AF80" s="24"/>
      <c r="AG80" s="24"/>
      <c r="AH80" s="24"/>
    </row>
    <row r="81" s="9" customFormat="1" ht="14" customHeight="1" spans="1:34">
      <c r="A81" s="24" t="s">
        <v>25</v>
      </c>
      <c r="B81" s="24" t="s">
        <v>809</v>
      </c>
      <c r="C81" s="51" t="s">
        <v>825</v>
      </c>
      <c r="D81" s="24" t="s">
        <v>1163</v>
      </c>
      <c r="E81" s="71">
        <v>46290</v>
      </c>
      <c r="F81" s="24" t="s">
        <v>1062</v>
      </c>
      <c r="G81" s="24">
        <v>27.5</v>
      </c>
      <c r="H81" s="72">
        <v>1380</v>
      </c>
      <c r="I81" s="72">
        <f t="shared" si="22"/>
        <v>37950</v>
      </c>
      <c r="J81" s="24">
        <v>27.5</v>
      </c>
      <c r="K81" s="24">
        <f t="shared" si="23"/>
        <v>0</v>
      </c>
      <c r="L81" s="72">
        <v>0</v>
      </c>
      <c r="M81" s="72">
        <f t="shared" si="24"/>
        <v>37950</v>
      </c>
      <c r="N81" s="72">
        <f t="shared" si="25"/>
        <v>37950</v>
      </c>
      <c r="O81" s="73">
        <f t="shared" si="26"/>
        <v>254644.5</v>
      </c>
      <c r="P81" s="72">
        <v>5</v>
      </c>
      <c r="Q81" s="72">
        <f t="shared" si="27"/>
        <v>137.5</v>
      </c>
      <c r="R81" s="24">
        <v>6.71</v>
      </c>
      <c r="S81" s="73">
        <v>9265</v>
      </c>
      <c r="T81" s="73"/>
      <c r="U81" s="73">
        <f t="shared" si="28"/>
        <v>254787.5</v>
      </c>
      <c r="V81" s="24" t="s">
        <v>1060</v>
      </c>
      <c r="W81" s="24" t="s">
        <v>155</v>
      </c>
      <c r="X81" s="24" t="s">
        <v>824</v>
      </c>
      <c r="Y81" s="72">
        <f>3550</f>
        <v>3550</v>
      </c>
      <c r="Z81" s="72">
        <v>41</v>
      </c>
      <c r="AA81" s="105">
        <v>5000</v>
      </c>
      <c r="AB81" s="24"/>
      <c r="AC81" s="24"/>
      <c r="AD81" s="24"/>
      <c r="AE81" s="24"/>
      <c r="AF81" s="24"/>
      <c r="AG81" s="24"/>
      <c r="AH81" s="24"/>
    </row>
    <row r="82" s="9" customFormat="1" ht="14" customHeight="1" spans="1:34">
      <c r="A82" s="24" t="s">
        <v>25</v>
      </c>
      <c r="B82" s="24" t="s">
        <v>809</v>
      </c>
      <c r="C82" s="51" t="s">
        <v>1164</v>
      </c>
      <c r="D82" s="24" t="s">
        <v>1165</v>
      </c>
      <c r="E82" s="71">
        <v>46290</v>
      </c>
      <c r="F82" s="24" t="s">
        <v>1059</v>
      </c>
      <c r="G82" s="24">
        <v>27.5</v>
      </c>
      <c r="H82" s="72">
        <v>1380</v>
      </c>
      <c r="I82" s="72">
        <f t="shared" si="22"/>
        <v>37950</v>
      </c>
      <c r="J82" s="24">
        <v>27.5</v>
      </c>
      <c r="K82" s="24">
        <f t="shared" si="23"/>
        <v>0</v>
      </c>
      <c r="L82" s="72">
        <v>0</v>
      </c>
      <c r="M82" s="72">
        <f t="shared" si="24"/>
        <v>37950</v>
      </c>
      <c r="N82" s="72">
        <f t="shared" si="25"/>
        <v>37950</v>
      </c>
      <c r="O82" s="73">
        <f t="shared" si="26"/>
        <v>254644.5</v>
      </c>
      <c r="P82" s="72">
        <v>5</v>
      </c>
      <c r="Q82" s="72">
        <f t="shared" si="27"/>
        <v>137.5</v>
      </c>
      <c r="R82" s="24">
        <v>6.71</v>
      </c>
      <c r="S82" s="73">
        <v>9265</v>
      </c>
      <c r="T82" s="73"/>
      <c r="U82" s="73">
        <f t="shared" si="28"/>
        <v>254787.5</v>
      </c>
      <c r="V82" s="24" t="s">
        <v>1060</v>
      </c>
      <c r="W82" s="24" t="s">
        <v>155</v>
      </c>
      <c r="X82" s="24" t="s">
        <v>829</v>
      </c>
      <c r="Y82" s="72">
        <f>3550</f>
        <v>3550</v>
      </c>
      <c r="Z82" s="72">
        <v>41</v>
      </c>
      <c r="AA82" s="105">
        <v>5000</v>
      </c>
      <c r="AB82" s="24"/>
      <c r="AC82" s="24"/>
      <c r="AD82" s="24"/>
      <c r="AE82" s="24"/>
      <c r="AF82" s="24"/>
      <c r="AG82" s="24"/>
      <c r="AH82" s="24"/>
    </row>
    <row r="83" s="9" customFormat="1" ht="14" customHeight="1" spans="1:34">
      <c r="A83" s="24" t="s">
        <v>25</v>
      </c>
      <c r="B83" s="24" t="s">
        <v>809</v>
      </c>
      <c r="C83" s="51" t="s">
        <v>810</v>
      </c>
      <c r="D83" s="24" t="s">
        <v>1165</v>
      </c>
      <c r="E83" s="71">
        <v>46290</v>
      </c>
      <c r="F83" s="24" t="s">
        <v>1062</v>
      </c>
      <c r="G83" s="24">
        <v>27.5</v>
      </c>
      <c r="H83" s="72">
        <v>1380</v>
      </c>
      <c r="I83" s="72">
        <f t="shared" si="22"/>
        <v>37950</v>
      </c>
      <c r="J83" s="24">
        <v>27.5</v>
      </c>
      <c r="K83" s="24">
        <f t="shared" si="23"/>
        <v>0</v>
      </c>
      <c r="L83" s="72">
        <v>0</v>
      </c>
      <c r="M83" s="72">
        <f t="shared" si="24"/>
        <v>37950</v>
      </c>
      <c r="N83" s="72">
        <f t="shared" si="25"/>
        <v>37950</v>
      </c>
      <c r="O83" s="73">
        <f t="shared" si="26"/>
        <v>254644.5</v>
      </c>
      <c r="P83" s="72">
        <v>5</v>
      </c>
      <c r="Q83" s="72">
        <f t="shared" si="27"/>
        <v>137.5</v>
      </c>
      <c r="R83" s="24">
        <v>6.71</v>
      </c>
      <c r="S83" s="73">
        <v>9265</v>
      </c>
      <c r="T83" s="73"/>
      <c r="U83" s="73">
        <f t="shared" si="28"/>
        <v>254787.5</v>
      </c>
      <c r="V83" s="24" t="s">
        <v>1060</v>
      </c>
      <c r="W83" s="24" t="s">
        <v>155</v>
      </c>
      <c r="X83" s="24" t="s">
        <v>829</v>
      </c>
      <c r="Y83" s="72">
        <f>3550</f>
        <v>3550</v>
      </c>
      <c r="Z83" s="72">
        <v>41</v>
      </c>
      <c r="AA83" s="105">
        <v>5000</v>
      </c>
      <c r="AB83" s="24"/>
      <c r="AC83" s="24"/>
      <c r="AD83" s="24"/>
      <c r="AE83" s="24"/>
      <c r="AF83" s="24"/>
      <c r="AG83" s="24"/>
      <c r="AH83" s="24"/>
    </row>
    <row r="84" s="9" customFormat="1" ht="14" customHeight="1" spans="1:34">
      <c r="A84" s="24" t="s">
        <v>25</v>
      </c>
      <c r="B84" s="24" t="s">
        <v>809</v>
      </c>
      <c r="C84" s="51" t="s">
        <v>1166</v>
      </c>
      <c r="D84" s="24" t="s">
        <v>1167</v>
      </c>
      <c r="E84" s="71">
        <v>46290</v>
      </c>
      <c r="F84" s="24" t="s">
        <v>1059</v>
      </c>
      <c r="G84" s="24">
        <v>27</v>
      </c>
      <c r="H84" s="72">
        <v>1380</v>
      </c>
      <c r="I84" s="72">
        <f t="shared" si="22"/>
        <v>37260</v>
      </c>
      <c r="J84" s="24">
        <v>27</v>
      </c>
      <c r="K84" s="24">
        <f t="shared" si="23"/>
        <v>0</v>
      </c>
      <c r="L84" s="72">
        <v>0</v>
      </c>
      <c r="M84" s="72">
        <f t="shared" si="24"/>
        <v>37260</v>
      </c>
      <c r="N84" s="72">
        <f t="shared" si="25"/>
        <v>37260</v>
      </c>
      <c r="O84" s="73">
        <f t="shared" si="26"/>
        <v>250014.6</v>
      </c>
      <c r="P84" s="72">
        <v>5</v>
      </c>
      <c r="Q84" s="72">
        <f t="shared" si="27"/>
        <v>135</v>
      </c>
      <c r="R84" s="24">
        <v>6.71</v>
      </c>
      <c r="S84" s="73">
        <v>9265</v>
      </c>
      <c r="T84" s="73"/>
      <c r="U84" s="73">
        <f t="shared" si="28"/>
        <v>250155</v>
      </c>
      <c r="V84" s="24" t="s">
        <v>1060</v>
      </c>
      <c r="W84" s="24" t="s">
        <v>155</v>
      </c>
      <c r="X84" s="24" t="s">
        <v>829</v>
      </c>
      <c r="Y84" s="72"/>
      <c r="Z84" s="72"/>
      <c r="AA84" s="105"/>
      <c r="AB84" s="24"/>
      <c r="AC84" s="24"/>
      <c r="AD84" s="24"/>
      <c r="AE84" s="24"/>
      <c r="AF84" s="24"/>
      <c r="AG84" s="24"/>
      <c r="AH84" s="24"/>
    </row>
    <row r="85" s="34" customFormat="1" ht="14" customHeight="1" spans="1:34">
      <c r="A85" s="24" t="s">
        <v>37</v>
      </c>
      <c r="B85" s="24" t="s">
        <v>183</v>
      </c>
      <c r="C85" s="51" t="s">
        <v>1115</v>
      </c>
      <c r="D85" s="24" t="s">
        <v>1168</v>
      </c>
      <c r="E85" s="71">
        <v>46291</v>
      </c>
      <c r="F85" s="24" t="s">
        <v>1067</v>
      </c>
      <c r="G85" s="24">
        <v>64</v>
      </c>
      <c r="H85" s="73">
        <v>10100</v>
      </c>
      <c r="I85" s="73">
        <f t="shared" si="22"/>
        <v>646400</v>
      </c>
      <c r="J85" s="24">
        <v>64</v>
      </c>
      <c r="K85" s="24">
        <f t="shared" si="23"/>
        <v>0</v>
      </c>
      <c r="L85" s="73">
        <f>长科收款!E71</f>
        <v>646400</v>
      </c>
      <c r="M85" s="73">
        <f t="shared" si="24"/>
        <v>0</v>
      </c>
      <c r="N85" s="73">
        <f t="shared" si="25"/>
        <v>0</v>
      </c>
      <c r="O85" s="73">
        <f t="shared" si="26"/>
        <v>0</v>
      </c>
      <c r="P85" s="73">
        <v>0</v>
      </c>
      <c r="Q85" s="73">
        <f t="shared" si="27"/>
        <v>0</v>
      </c>
      <c r="R85" s="24">
        <v>1</v>
      </c>
      <c r="S85" s="73">
        <v>9690</v>
      </c>
      <c r="T85" s="73"/>
      <c r="U85" s="73">
        <f t="shared" si="28"/>
        <v>620160</v>
      </c>
      <c r="V85" s="24" t="s">
        <v>1060</v>
      </c>
      <c r="W85" s="24" t="s">
        <v>39</v>
      </c>
      <c r="X85" s="24" t="s">
        <v>1117</v>
      </c>
      <c r="Y85" s="105">
        <v>410</v>
      </c>
      <c r="Z85" s="105">
        <v>0</v>
      </c>
      <c r="AA85" s="105">
        <v>0</v>
      </c>
      <c r="AB85" s="73"/>
      <c r="AC85" s="24"/>
      <c r="AD85" s="24"/>
      <c r="AE85" s="24"/>
      <c r="AF85" s="24"/>
      <c r="AG85" s="24"/>
      <c r="AH85" s="24"/>
    </row>
    <row r="86" s="9" customFormat="1" ht="14" customHeight="1" spans="1:34">
      <c r="A86" s="24" t="s">
        <v>1139</v>
      </c>
      <c r="B86" s="24" t="s">
        <v>173</v>
      </c>
      <c r="C86" s="51" t="s">
        <v>1152</v>
      </c>
      <c r="D86" s="24" t="s">
        <v>1169</v>
      </c>
      <c r="E86" s="71">
        <v>46293</v>
      </c>
      <c r="F86" s="24" t="s">
        <v>1067</v>
      </c>
      <c r="G86" s="24">
        <v>27.5</v>
      </c>
      <c r="H86" s="72">
        <v>1350</v>
      </c>
      <c r="I86" s="72">
        <f t="shared" si="22"/>
        <v>37125</v>
      </c>
      <c r="J86" s="24">
        <v>27.5</v>
      </c>
      <c r="K86" s="24">
        <f t="shared" si="23"/>
        <v>0</v>
      </c>
      <c r="L86" s="72">
        <f>长科收款!E76+长科收款!E89</f>
        <v>37087</v>
      </c>
      <c r="M86" s="72">
        <f t="shared" si="24"/>
        <v>38</v>
      </c>
      <c r="N86" s="72">
        <f t="shared" si="25"/>
        <v>38</v>
      </c>
      <c r="O86" s="73">
        <f t="shared" si="26"/>
        <v>254.98</v>
      </c>
      <c r="P86" s="72">
        <v>10</v>
      </c>
      <c r="Q86" s="72">
        <f t="shared" si="27"/>
        <v>275</v>
      </c>
      <c r="R86" s="24">
        <v>6.71</v>
      </c>
      <c r="S86" s="73">
        <v>9950</v>
      </c>
      <c r="T86" s="73"/>
      <c r="U86" s="73">
        <f t="shared" si="28"/>
        <v>273625</v>
      </c>
      <c r="V86" s="24" t="s">
        <v>1060</v>
      </c>
      <c r="W86" s="24" t="s">
        <v>190</v>
      </c>
      <c r="X86" s="24" t="s">
        <v>1072</v>
      </c>
      <c r="Y86" s="72">
        <v>0</v>
      </c>
      <c r="Z86" s="72">
        <v>0</v>
      </c>
      <c r="AA86" s="105">
        <v>6000</v>
      </c>
      <c r="AB86" s="24"/>
      <c r="AC86" s="24"/>
      <c r="AD86" s="24"/>
      <c r="AE86" s="24"/>
      <c r="AF86" s="24"/>
      <c r="AG86" s="24"/>
      <c r="AH86" s="24"/>
    </row>
    <row r="87" s="9" customFormat="1" ht="14" customHeight="1" spans="1:34">
      <c r="A87" s="24" t="s">
        <v>1139</v>
      </c>
      <c r="B87" s="24" t="s">
        <v>173</v>
      </c>
      <c r="C87" s="51" t="s">
        <v>1065</v>
      </c>
      <c r="D87" s="24" t="s">
        <v>1170</v>
      </c>
      <c r="E87" s="71">
        <v>46293</v>
      </c>
      <c r="F87" s="24" t="s">
        <v>1067</v>
      </c>
      <c r="G87" s="24">
        <v>27.5</v>
      </c>
      <c r="H87" s="72">
        <v>1350</v>
      </c>
      <c r="I87" s="72">
        <f t="shared" si="22"/>
        <v>37125</v>
      </c>
      <c r="J87" s="24">
        <v>27.5</v>
      </c>
      <c r="K87" s="24">
        <f t="shared" si="23"/>
        <v>0</v>
      </c>
      <c r="L87" s="72">
        <f>长科收款!E78+长科收款!E87</f>
        <v>37125</v>
      </c>
      <c r="M87" s="72">
        <f t="shared" si="24"/>
        <v>0</v>
      </c>
      <c r="N87" s="72">
        <f t="shared" si="25"/>
        <v>0</v>
      </c>
      <c r="O87" s="73">
        <f t="shared" si="26"/>
        <v>0</v>
      </c>
      <c r="P87" s="72">
        <v>10</v>
      </c>
      <c r="Q87" s="72">
        <f t="shared" si="27"/>
        <v>275</v>
      </c>
      <c r="R87" s="24">
        <v>6.71</v>
      </c>
      <c r="S87" s="73">
        <v>9950</v>
      </c>
      <c r="T87" s="73"/>
      <c r="U87" s="73">
        <f t="shared" si="28"/>
        <v>273625</v>
      </c>
      <c r="V87" s="24" t="s">
        <v>1060</v>
      </c>
      <c r="W87" s="24" t="s">
        <v>190</v>
      </c>
      <c r="X87" s="24" t="s">
        <v>1072</v>
      </c>
      <c r="Y87" s="72">
        <v>0</v>
      </c>
      <c r="Z87" s="72">
        <v>0</v>
      </c>
      <c r="AA87" s="105">
        <v>6000</v>
      </c>
      <c r="AB87" s="24"/>
      <c r="AC87" s="24"/>
      <c r="AD87" s="24"/>
      <c r="AE87" s="24"/>
      <c r="AF87" s="24"/>
      <c r="AG87" s="24"/>
      <c r="AH87" s="24"/>
    </row>
    <row r="88" s="34" customFormat="1" ht="14" customHeight="1" spans="1:34">
      <c r="A88" s="24" t="s">
        <v>25</v>
      </c>
      <c r="B88" s="24" t="s">
        <v>183</v>
      </c>
      <c r="C88" s="51" t="s">
        <v>1171</v>
      </c>
      <c r="D88" s="24" t="s">
        <v>1172</v>
      </c>
      <c r="E88" s="71">
        <v>46285</v>
      </c>
      <c r="F88" s="24" t="s">
        <v>1064</v>
      </c>
      <c r="G88" s="24">
        <v>1</v>
      </c>
      <c r="H88" s="73">
        <v>16700</v>
      </c>
      <c r="I88" s="73">
        <f t="shared" si="22"/>
        <v>16700</v>
      </c>
      <c r="J88" s="24">
        <v>1</v>
      </c>
      <c r="K88" s="24">
        <f t="shared" si="23"/>
        <v>0</v>
      </c>
      <c r="L88" s="73">
        <f>长科收款!E77</f>
        <v>16700</v>
      </c>
      <c r="M88" s="73">
        <f t="shared" si="24"/>
        <v>0</v>
      </c>
      <c r="N88" s="73">
        <f t="shared" si="25"/>
        <v>0</v>
      </c>
      <c r="O88" s="73">
        <f t="shared" si="26"/>
        <v>0</v>
      </c>
      <c r="P88" s="73">
        <v>0</v>
      </c>
      <c r="Q88" s="73">
        <f t="shared" si="27"/>
        <v>0</v>
      </c>
      <c r="R88" s="24">
        <v>1</v>
      </c>
      <c r="S88" s="73">
        <v>16200</v>
      </c>
      <c r="T88" s="73"/>
      <c r="U88" s="73">
        <f t="shared" si="28"/>
        <v>16200</v>
      </c>
      <c r="V88" s="24" t="s">
        <v>1082</v>
      </c>
      <c r="W88" s="24" t="s">
        <v>39</v>
      </c>
      <c r="X88" s="24" t="s">
        <v>1173</v>
      </c>
      <c r="Y88" s="105">
        <v>0</v>
      </c>
      <c r="Z88" s="105">
        <v>0</v>
      </c>
      <c r="AA88" s="105">
        <v>500</v>
      </c>
      <c r="AB88" s="73"/>
      <c r="AC88" s="24"/>
      <c r="AD88" s="24"/>
      <c r="AE88" s="24"/>
      <c r="AF88" s="24"/>
      <c r="AG88" s="24"/>
      <c r="AH88" s="24"/>
    </row>
    <row r="89" s="9" customFormat="1" ht="14" customHeight="1" spans="1:34">
      <c r="A89" s="24" t="s">
        <v>1139</v>
      </c>
      <c r="B89" s="24" t="s">
        <v>1105</v>
      </c>
      <c r="C89" s="51" t="s">
        <v>1140</v>
      </c>
      <c r="D89" s="24" t="s">
        <v>1174</v>
      </c>
      <c r="E89" s="71">
        <v>46317</v>
      </c>
      <c r="F89" s="24" t="s">
        <v>1067</v>
      </c>
      <c r="G89" s="24">
        <v>27.5</v>
      </c>
      <c r="H89" s="72">
        <v>1640</v>
      </c>
      <c r="I89" s="72">
        <f t="shared" si="22"/>
        <v>45100</v>
      </c>
      <c r="J89" s="24">
        <v>0</v>
      </c>
      <c r="K89" s="24">
        <f t="shared" si="23"/>
        <v>27.5</v>
      </c>
      <c r="L89" s="72">
        <v>0</v>
      </c>
      <c r="M89" s="72">
        <f t="shared" si="24"/>
        <v>45100</v>
      </c>
      <c r="N89" s="72">
        <f t="shared" si="25"/>
        <v>0</v>
      </c>
      <c r="O89" s="73">
        <f t="shared" si="26"/>
        <v>0</v>
      </c>
      <c r="P89" s="72">
        <v>10</v>
      </c>
      <c r="Q89" s="72">
        <f t="shared" si="27"/>
        <v>275</v>
      </c>
      <c r="R89" s="24">
        <v>6.6845</v>
      </c>
      <c r="S89" s="73">
        <v>11147</v>
      </c>
      <c r="T89" s="73">
        <v>11050</v>
      </c>
      <c r="U89" s="73">
        <f t="shared" si="28"/>
        <v>306542.5</v>
      </c>
      <c r="V89" s="24" t="s">
        <v>1060</v>
      </c>
      <c r="W89" s="24" t="s">
        <v>155</v>
      </c>
      <c r="X89" s="24" t="s">
        <v>824</v>
      </c>
      <c r="Y89" s="72">
        <v>3550</v>
      </c>
      <c r="Z89" s="72">
        <v>60</v>
      </c>
      <c r="AA89" s="105">
        <v>5000</v>
      </c>
      <c r="AB89" s="24"/>
      <c r="AC89" s="24"/>
      <c r="AD89" s="24"/>
      <c r="AE89" s="24"/>
      <c r="AF89" s="24"/>
      <c r="AG89" s="24"/>
      <c r="AH89" s="24"/>
    </row>
    <row r="90" s="9" customFormat="1" ht="14" customHeight="1" spans="1:34">
      <c r="A90" s="24" t="s">
        <v>25</v>
      </c>
      <c r="B90" s="24" t="s">
        <v>164</v>
      </c>
      <c r="C90" s="51" t="s">
        <v>1001</v>
      </c>
      <c r="D90" s="24" t="s">
        <v>1175</v>
      </c>
      <c r="E90" s="71">
        <v>46319</v>
      </c>
      <c r="F90" s="24" t="s">
        <v>1062</v>
      </c>
      <c r="G90" s="24">
        <v>55</v>
      </c>
      <c r="H90" s="72">
        <v>1560</v>
      </c>
      <c r="I90" s="72">
        <f t="shared" si="22"/>
        <v>85800</v>
      </c>
      <c r="J90" s="24">
        <v>55</v>
      </c>
      <c r="K90" s="24">
        <f t="shared" si="23"/>
        <v>0</v>
      </c>
      <c r="L90" s="72">
        <f>长科收款!E81</f>
        <v>51480</v>
      </c>
      <c r="M90" s="72">
        <f t="shared" si="24"/>
        <v>34320</v>
      </c>
      <c r="N90" s="72">
        <f t="shared" si="25"/>
        <v>34320</v>
      </c>
      <c r="O90" s="73">
        <f t="shared" si="26"/>
        <v>229841.04</v>
      </c>
      <c r="P90" s="72">
        <v>10</v>
      </c>
      <c r="Q90" s="72">
        <f t="shared" si="27"/>
        <v>550</v>
      </c>
      <c r="R90" s="24">
        <v>6.697</v>
      </c>
      <c r="S90" s="73">
        <v>10525</v>
      </c>
      <c r="T90" s="73"/>
      <c r="U90" s="73">
        <f t="shared" si="28"/>
        <v>578875</v>
      </c>
      <c r="V90" s="24" t="s">
        <v>1060</v>
      </c>
      <c r="W90" s="24" t="s">
        <v>155</v>
      </c>
      <c r="X90" s="24" t="s">
        <v>829</v>
      </c>
      <c r="Y90" s="72">
        <f>3700*2</f>
        <v>7400</v>
      </c>
      <c r="Z90" s="72">
        <f>48*2</f>
        <v>96</v>
      </c>
      <c r="AA90" s="105">
        <f>5000*2</f>
        <v>10000</v>
      </c>
      <c r="AB90" s="24"/>
      <c r="AC90" s="24"/>
      <c r="AD90" s="24"/>
      <c r="AE90" s="24"/>
      <c r="AF90" s="24"/>
      <c r="AG90" s="24"/>
      <c r="AH90" s="24"/>
    </row>
    <row r="91" s="9" customFormat="1" ht="14" customHeight="1" spans="1:34">
      <c r="A91" s="24" t="s">
        <v>25</v>
      </c>
      <c r="B91" s="24" t="s">
        <v>164</v>
      </c>
      <c r="C91" s="51" t="s">
        <v>1001</v>
      </c>
      <c r="D91" s="24" t="s">
        <v>1175</v>
      </c>
      <c r="E91" s="71">
        <v>46319</v>
      </c>
      <c r="F91" s="24" t="s">
        <v>1063</v>
      </c>
      <c r="G91" s="24">
        <v>110</v>
      </c>
      <c r="H91" s="72">
        <v>1560</v>
      </c>
      <c r="I91" s="72">
        <f t="shared" si="22"/>
        <v>171600</v>
      </c>
      <c r="J91" s="24">
        <v>110</v>
      </c>
      <c r="K91" s="24">
        <f t="shared" si="23"/>
        <v>0</v>
      </c>
      <c r="L91" s="72">
        <v>0</v>
      </c>
      <c r="M91" s="72">
        <f t="shared" si="24"/>
        <v>171600</v>
      </c>
      <c r="N91" s="72">
        <f t="shared" si="25"/>
        <v>171600</v>
      </c>
      <c r="O91" s="73">
        <f t="shared" si="26"/>
        <v>1149205.2</v>
      </c>
      <c r="P91" s="72">
        <v>10</v>
      </c>
      <c r="Q91" s="72">
        <f t="shared" si="27"/>
        <v>1100</v>
      </c>
      <c r="R91" s="24">
        <v>6.697</v>
      </c>
      <c r="S91" s="73">
        <v>10525</v>
      </c>
      <c r="T91" s="73"/>
      <c r="U91" s="73">
        <f t="shared" si="28"/>
        <v>1157750</v>
      </c>
      <c r="V91" s="24" t="s">
        <v>1060</v>
      </c>
      <c r="W91" s="24" t="s">
        <v>155</v>
      </c>
      <c r="X91" s="24" t="s">
        <v>829</v>
      </c>
      <c r="Y91" s="72">
        <f>3700*4</f>
        <v>14800</v>
      </c>
      <c r="Z91" s="72">
        <f>48*4</f>
        <v>192</v>
      </c>
      <c r="AA91" s="105">
        <f>5000*4</f>
        <v>20000</v>
      </c>
      <c r="AB91" s="24"/>
      <c r="AC91" s="24"/>
      <c r="AD91" s="24"/>
      <c r="AE91" s="24"/>
      <c r="AF91" s="24"/>
      <c r="AG91" s="24"/>
      <c r="AH91" s="24"/>
    </row>
    <row r="92" s="62" customFormat="1" ht="14" customHeight="1" spans="1:34">
      <c r="A92" s="110" t="s">
        <v>25</v>
      </c>
      <c r="B92" s="110" t="s">
        <v>164</v>
      </c>
      <c r="C92" s="111" t="s">
        <v>1176</v>
      </c>
      <c r="D92" s="110" t="s">
        <v>1177</v>
      </c>
      <c r="E92" s="112">
        <v>46326</v>
      </c>
      <c r="F92" s="110" t="s">
        <v>1062</v>
      </c>
      <c r="G92" s="110">
        <v>220</v>
      </c>
      <c r="H92" s="79">
        <v>1540</v>
      </c>
      <c r="I92" s="79">
        <f t="shared" si="22"/>
        <v>338800</v>
      </c>
      <c r="J92" s="110">
        <f>110+110</f>
        <v>220</v>
      </c>
      <c r="K92" s="110">
        <f t="shared" si="23"/>
        <v>0</v>
      </c>
      <c r="L92" s="79">
        <v>135520</v>
      </c>
      <c r="M92" s="79">
        <f t="shared" si="24"/>
        <v>203280</v>
      </c>
      <c r="N92" s="79">
        <f t="shared" si="25"/>
        <v>203280</v>
      </c>
      <c r="O92" s="113">
        <f t="shared" si="26"/>
        <v>1361386.488</v>
      </c>
      <c r="P92" s="79">
        <v>5</v>
      </c>
      <c r="Q92" s="79">
        <f t="shared" si="27"/>
        <v>1100</v>
      </c>
      <c r="R92" s="110">
        <v>6.6971</v>
      </c>
      <c r="S92" s="113">
        <v>10426</v>
      </c>
      <c r="T92" s="113">
        <v>10300</v>
      </c>
      <c r="U92" s="113">
        <f t="shared" si="28"/>
        <v>2293720</v>
      </c>
      <c r="V92" s="110" t="s">
        <v>1060</v>
      </c>
      <c r="W92" s="110" t="s">
        <v>155</v>
      </c>
      <c r="X92" s="110" t="s">
        <v>824</v>
      </c>
      <c r="Y92" s="79">
        <f t="shared" ref="Y92:Y94" si="29">8*3700</f>
        <v>29600</v>
      </c>
      <c r="Z92" s="79">
        <f t="shared" ref="Z92:Z94" si="30">8*47</f>
        <v>376</v>
      </c>
      <c r="AA92" s="118">
        <f t="shared" ref="AA92:AA94" si="31">8*4500</f>
        <v>36000</v>
      </c>
      <c r="AB92" s="110"/>
      <c r="AC92" s="110"/>
      <c r="AD92" s="110"/>
      <c r="AE92" s="110"/>
      <c r="AF92" s="110"/>
      <c r="AG92" s="110"/>
      <c r="AH92" s="110"/>
    </row>
    <row r="93" s="62" customFormat="1" ht="14" customHeight="1" spans="1:34">
      <c r="A93" s="110" t="s">
        <v>25</v>
      </c>
      <c r="B93" s="110" t="s">
        <v>164</v>
      </c>
      <c r="C93" s="111" t="s">
        <v>1176</v>
      </c>
      <c r="D93" s="110" t="s">
        <v>1177</v>
      </c>
      <c r="E93" s="112">
        <v>46326</v>
      </c>
      <c r="F93" s="110" t="s">
        <v>1063</v>
      </c>
      <c r="G93" s="110">
        <v>220</v>
      </c>
      <c r="H93" s="79">
        <v>1540</v>
      </c>
      <c r="I93" s="79">
        <f t="shared" si="22"/>
        <v>338800</v>
      </c>
      <c r="J93" s="110">
        <f>55+82.5+82.5</f>
        <v>220</v>
      </c>
      <c r="K93" s="110">
        <f t="shared" si="23"/>
        <v>0</v>
      </c>
      <c r="L93" s="79">
        <v>0</v>
      </c>
      <c r="M93" s="79">
        <f t="shared" si="24"/>
        <v>338800</v>
      </c>
      <c r="N93" s="79">
        <f t="shared" si="25"/>
        <v>338800</v>
      </c>
      <c r="O93" s="113">
        <f t="shared" si="26"/>
        <v>2268977.48</v>
      </c>
      <c r="P93" s="79">
        <v>5</v>
      </c>
      <c r="Q93" s="79">
        <f t="shared" si="27"/>
        <v>1100</v>
      </c>
      <c r="R93" s="110">
        <v>6.6971</v>
      </c>
      <c r="S93" s="113">
        <v>10426</v>
      </c>
      <c r="T93" s="113">
        <v>10500</v>
      </c>
      <c r="U93" s="113">
        <f t="shared" si="28"/>
        <v>2293720</v>
      </c>
      <c r="V93" s="110" t="s">
        <v>1060</v>
      </c>
      <c r="W93" s="110" t="s">
        <v>155</v>
      </c>
      <c r="X93" s="110" t="s">
        <v>824</v>
      </c>
      <c r="Y93" s="79">
        <f t="shared" si="29"/>
        <v>29600</v>
      </c>
      <c r="Z93" s="79">
        <f t="shared" si="30"/>
        <v>376</v>
      </c>
      <c r="AA93" s="118">
        <f t="shared" si="31"/>
        <v>36000</v>
      </c>
      <c r="AB93" s="110"/>
      <c r="AC93" s="110"/>
      <c r="AD93" s="110"/>
      <c r="AE93" s="110"/>
      <c r="AF93" s="110"/>
      <c r="AG93" s="110"/>
      <c r="AH93" s="110"/>
    </row>
    <row r="94" s="62" customFormat="1" ht="14" customHeight="1" spans="1:34">
      <c r="A94" s="110" t="s">
        <v>25</v>
      </c>
      <c r="B94" s="110" t="s">
        <v>809</v>
      </c>
      <c r="C94" s="111" t="s">
        <v>1178</v>
      </c>
      <c r="D94" s="110" t="s">
        <v>1179</v>
      </c>
      <c r="E94" s="112">
        <v>46326</v>
      </c>
      <c r="F94" s="110" t="s">
        <v>1059</v>
      </c>
      <c r="G94" s="110">
        <v>13.5</v>
      </c>
      <c r="H94" s="79">
        <v>1540</v>
      </c>
      <c r="I94" s="79">
        <f t="shared" si="22"/>
        <v>20790</v>
      </c>
      <c r="J94" s="110">
        <v>13.5</v>
      </c>
      <c r="K94" s="110">
        <f t="shared" si="23"/>
        <v>0</v>
      </c>
      <c r="L94" s="79">
        <v>0</v>
      </c>
      <c r="M94" s="79">
        <f t="shared" si="24"/>
        <v>20790</v>
      </c>
      <c r="N94" s="79">
        <f t="shared" si="25"/>
        <v>20790</v>
      </c>
      <c r="O94" s="113">
        <f t="shared" si="26"/>
        <v>139232.709</v>
      </c>
      <c r="P94" s="79">
        <v>5</v>
      </c>
      <c r="Q94" s="79">
        <f t="shared" si="27"/>
        <v>67.5</v>
      </c>
      <c r="R94" s="110">
        <v>6.6971</v>
      </c>
      <c r="S94" s="113">
        <v>10426</v>
      </c>
      <c r="T94" s="113">
        <v>10300</v>
      </c>
      <c r="U94" s="113">
        <f t="shared" si="28"/>
        <v>140751</v>
      </c>
      <c r="V94" s="110" t="s">
        <v>1060</v>
      </c>
      <c r="W94" s="110" t="s">
        <v>155</v>
      </c>
      <c r="X94" s="110" t="s">
        <v>824</v>
      </c>
      <c r="Y94" s="119">
        <f>3700</f>
        <v>3700</v>
      </c>
      <c r="Z94" s="119">
        <f>47</f>
        <v>47</v>
      </c>
      <c r="AA94" s="120">
        <f>4500</f>
        <v>4500</v>
      </c>
      <c r="AB94" s="110"/>
      <c r="AC94" s="110"/>
      <c r="AD94" s="110"/>
      <c r="AE94" s="110"/>
      <c r="AF94" s="110"/>
      <c r="AG94" s="110"/>
      <c r="AH94" s="110"/>
    </row>
    <row r="95" s="62" customFormat="1" ht="14" customHeight="1" spans="1:34">
      <c r="A95" s="110" t="s">
        <v>25</v>
      </c>
      <c r="B95" s="110" t="s">
        <v>809</v>
      </c>
      <c r="C95" s="111" t="s">
        <v>1178</v>
      </c>
      <c r="D95" s="110" t="s">
        <v>1179</v>
      </c>
      <c r="E95" s="112">
        <v>46326</v>
      </c>
      <c r="F95" s="110" t="s">
        <v>1062</v>
      </c>
      <c r="G95" s="110">
        <v>14</v>
      </c>
      <c r="H95" s="79">
        <v>1540</v>
      </c>
      <c r="I95" s="79">
        <f t="shared" si="22"/>
        <v>21560</v>
      </c>
      <c r="J95" s="110">
        <v>14</v>
      </c>
      <c r="K95" s="110">
        <f t="shared" si="23"/>
        <v>0</v>
      </c>
      <c r="L95" s="79">
        <v>0</v>
      </c>
      <c r="M95" s="79">
        <f t="shared" si="24"/>
        <v>21560</v>
      </c>
      <c r="N95" s="79">
        <f t="shared" si="25"/>
        <v>21560</v>
      </c>
      <c r="O95" s="113">
        <f t="shared" si="26"/>
        <v>144389.476</v>
      </c>
      <c r="P95" s="79">
        <v>5</v>
      </c>
      <c r="Q95" s="79">
        <f t="shared" si="27"/>
        <v>70</v>
      </c>
      <c r="R95" s="110">
        <v>6.6971</v>
      </c>
      <c r="S95" s="113">
        <v>10426</v>
      </c>
      <c r="T95" s="113">
        <v>10300</v>
      </c>
      <c r="U95" s="113">
        <f t="shared" si="28"/>
        <v>145964</v>
      </c>
      <c r="V95" s="110" t="s">
        <v>1060</v>
      </c>
      <c r="W95" s="110" t="s">
        <v>155</v>
      </c>
      <c r="X95" s="110" t="s">
        <v>824</v>
      </c>
      <c r="Y95" s="121"/>
      <c r="Z95" s="121"/>
      <c r="AA95" s="118"/>
      <c r="AB95" s="110"/>
      <c r="AC95" s="110"/>
      <c r="AD95" s="110"/>
      <c r="AE95" s="110"/>
      <c r="AF95" s="110"/>
      <c r="AG95" s="110"/>
      <c r="AH95" s="110"/>
    </row>
    <row r="96" s="62" customFormat="1" ht="13" customHeight="1" spans="1:34">
      <c r="A96" s="110" t="s">
        <v>25</v>
      </c>
      <c r="B96" s="110" t="s">
        <v>809</v>
      </c>
      <c r="C96" s="111" t="s">
        <v>1178</v>
      </c>
      <c r="D96" s="110" t="s">
        <v>1179</v>
      </c>
      <c r="E96" s="112">
        <v>46326</v>
      </c>
      <c r="F96" s="110" t="s">
        <v>1063</v>
      </c>
      <c r="G96" s="110">
        <v>55</v>
      </c>
      <c r="H96" s="79">
        <v>1540</v>
      </c>
      <c r="I96" s="79">
        <f t="shared" si="22"/>
        <v>84700</v>
      </c>
      <c r="J96" s="110">
        <v>55</v>
      </c>
      <c r="K96" s="110">
        <f t="shared" si="23"/>
        <v>0</v>
      </c>
      <c r="L96" s="79">
        <v>0</v>
      </c>
      <c r="M96" s="79">
        <f t="shared" si="24"/>
        <v>84700</v>
      </c>
      <c r="N96" s="79">
        <f t="shared" si="25"/>
        <v>84700</v>
      </c>
      <c r="O96" s="113">
        <f t="shared" si="26"/>
        <v>567244.37</v>
      </c>
      <c r="P96" s="79">
        <v>5</v>
      </c>
      <c r="Q96" s="79">
        <f t="shared" si="27"/>
        <v>275</v>
      </c>
      <c r="R96" s="110">
        <v>6.6971</v>
      </c>
      <c r="S96" s="113">
        <v>10426</v>
      </c>
      <c r="T96" s="113">
        <v>10500</v>
      </c>
      <c r="U96" s="113">
        <f t="shared" si="28"/>
        <v>573430</v>
      </c>
      <c r="V96" s="110" t="s">
        <v>1060</v>
      </c>
      <c r="W96" s="110" t="s">
        <v>155</v>
      </c>
      <c r="X96" s="110" t="s">
        <v>824</v>
      </c>
      <c r="Y96" s="79">
        <f>2*3700</f>
        <v>7400</v>
      </c>
      <c r="Z96" s="79">
        <f>2*47</f>
        <v>94</v>
      </c>
      <c r="AA96" s="118">
        <f>2*4500</f>
        <v>9000</v>
      </c>
      <c r="AB96" s="110"/>
      <c r="AC96" s="110"/>
      <c r="AD96" s="110"/>
      <c r="AE96" s="110"/>
      <c r="AF96" s="110"/>
      <c r="AG96" s="110"/>
      <c r="AH96" s="110"/>
    </row>
    <row r="97" s="62" customFormat="1" ht="13" customHeight="1" spans="1:34">
      <c r="A97" s="110" t="s">
        <v>37</v>
      </c>
      <c r="B97" s="110" t="s">
        <v>183</v>
      </c>
      <c r="C97" s="111" t="s">
        <v>1096</v>
      </c>
      <c r="D97" s="110" t="s">
        <v>1180</v>
      </c>
      <c r="E97" s="112">
        <v>46325</v>
      </c>
      <c r="F97" s="110" t="s">
        <v>1067</v>
      </c>
      <c r="G97" s="110">
        <v>135</v>
      </c>
      <c r="H97" s="79">
        <v>1440</v>
      </c>
      <c r="I97" s="79">
        <f t="shared" si="22"/>
        <v>194400</v>
      </c>
      <c r="J97" s="110">
        <v>81</v>
      </c>
      <c r="K97" s="110">
        <f t="shared" si="23"/>
        <v>54</v>
      </c>
      <c r="L97" s="114">
        <f>长科收款!E86+长科收款!E91</f>
        <v>194400</v>
      </c>
      <c r="M97" s="114">
        <f t="shared" si="24"/>
        <v>0</v>
      </c>
      <c r="N97" s="114">
        <f t="shared" si="25"/>
        <v>-77760</v>
      </c>
      <c r="O97" s="115">
        <f t="shared" si="26"/>
        <v>-520603.2</v>
      </c>
      <c r="P97" s="79">
        <v>0</v>
      </c>
      <c r="Q97" s="79">
        <f t="shared" si="27"/>
        <v>0</v>
      </c>
      <c r="R97" s="110">
        <v>6.695</v>
      </c>
      <c r="S97" s="113">
        <v>10727</v>
      </c>
      <c r="T97" s="113"/>
      <c r="U97" s="113">
        <f t="shared" si="28"/>
        <v>1448145</v>
      </c>
      <c r="V97" s="110" t="s">
        <v>1060</v>
      </c>
      <c r="W97" s="110" t="s">
        <v>190</v>
      </c>
      <c r="X97" s="110" t="s">
        <v>1072</v>
      </c>
      <c r="Y97" s="79">
        <v>0</v>
      </c>
      <c r="Z97" s="79">
        <v>0</v>
      </c>
      <c r="AA97" s="118">
        <f>5*4500</f>
        <v>22500</v>
      </c>
      <c r="AB97" s="110"/>
      <c r="AC97" s="110"/>
      <c r="AD97" s="110"/>
      <c r="AE97" s="110"/>
      <c r="AF97" s="110"/>
      <c r="AG97" s="110"/>
      <c r="AH97" s="110"/>
    </row>
    <row r="98" s="62" customFormat="1" ht="13" customHeight="1" spans="1:34">
      <c r="A98" s="110" t="s">
        <v>1139</v>
      </c>
      <c r="B98" s="110" t="s">
        <v>183</v>
      </c>
      <c r="C98" s="111" t="s">
        <v>1096</v>
      </c>
      <c r="D98" s="110" t="s">
        <v>1181</v>
      </c>
      <c r="E98" s="112">
        <v>46334</v>
      </c>
      <c r="F98" s="110" t="s">
        <v>1064</v>
      </c>
      <c r="G98" s="110">
        <v>27</v>
      </c>
      <c r="H98" s="79">
        <v>1920</v>
      </c>
      <c r="I98" s="79">
        <f t="shared" si="22"/>
        <v>51840</v>
      </c>
      <c r="J98" s="110">
        <v>27</v>
      </c>
      <c r="K98" s="110">
        <f t="shared" si="23"/>
        <v>0</v>
      </c>
      <c r="L98" s="79">
        <f>长科收款!E88</f>
        <v>51840</v>
      </c>
      <c r="M98" s="79">
        <f t="shared" si="24"/>
        <v>0</v>
      </c>
      <c r="N98" s="79">
        <f t="shared" si="25"/>
        <v>0</v>
      </c>
      <c r="O98" s="113">
        <f t="shared" si="26"/>
        <v>0</v>
      </c>
      <c r="P98" s="79">
        <v>0</v>
      </c>
      <c r="Q98" s="79">
        <f t="shared" si="27"/>
        <v>0</v>
      </c>
      <c r="R98" s="110">
        <v>6.6914</v>
      </c>
      <c r="S98" s="113">
        <v>14313</v>
      </c>
      <c r="T98" s="113">
        <v>14000</v>
      </c>
      <c r="U98" s="113">
        <f t="shared" si="28"/>
        <v>386451</v>
      </c>
      <c r="V98" s="110"/>
      <c r="W98" s="24" t="s">
        <v>190</v>
      </c>
      <c r="X98" s="110" t="s">
        <v>1072</v>
      </c>
      <c r="Y98" s="79">
        <v>0</v>
      </c>
      <c r="Z98" s="79">
        <v>0</v>
      </c>
      <c r="AA98" s="118">
        <v>5500</v>
      </c>
      <c r="AB98" s="110"/>
      <c r="AC98" s="110"/>
      <c r="AD98" s="110"/>
      <c r="AE98" s="110"/>
      <c r="AF98" s="110"/>
      <c r="AG98" s="110"/>
      <c r="AH98" s="110"/>
    </row>
    <row r="99" s="62" customFormat="1" ht="13" customHeight="1" spans="1:34">
      <c r="A99" s="110" t="s">
        <v>1182</v>
      </c>
      <c r="B99" s="110" t="s">
        <v>183</v>
      </c>
      <c r="C99" s="111" t="s">
        <v>1143</v>
      </c>
      <c r="D99" s="110" t="s">
        <v>1183</v>
      </c>
      <c r="E99" s="112">
        <v>46341</v>
      </c>
      <c r="F99" s="110" t="s">
        <v>1086</v>
      </c>
      <c r="G99" s="110">
        <v>600</v>
      </c>
      <c r="H99" s="79">
        <v>1385</v>
      </c>
      <c r="I99" s="79">
        <f t="shared" si="22"/>
        <v>831000</v>
      </c>
      <c r="J99" s="110">
        <f>80+60+60</f>
        <v>200</v>
      </c>
      <c r="K99" s="110">
        <f t="shared" si="23"/>
        <v>400</v>
      </c>
      <c r="L99" s="79">
        <v>831000</v>
      </c>
      <c r="M99" s="79">
        <f t="shared" si="24"/>
        <v>0</v>
      </c>
      <c r="N99" s="79">
        <f t="shared" si="25"/>
        <v>-554000</v>
      </c>
      <c r="O99" s="113">
        <f t="shared" si="26"/>
        <v>-3700720</v>
      </c>
      <c r="P99" s="79">
        <v>0</v>
      </c>
      <c r="Q99" s="79">
        <f t="shared" si="27"/>
        <v>0</v>
      </c>
      <c r="R99" s="110">
        <v>6.68</v>
      </c>
      <c r="S99" s="113">
        <v>8716</v>
      </c>
      <c r="T99" s="113"/>
      <c r="U99" s="113">
        <f t="shared" si="28"/>
        <v>5229600</v>
      </c>
      <c r="V99" s="110" t="s">
        <v>1087</v>
      </c>
      <c r="W99" s="110" t="s">
        <v>155</v>
      </c>
      <c r="X99" s="110" t="s">
        <v>198</v>
      </c>
      <c r="Y99" s="79">
        <f>900*30</f>
        <v>27000</v>
      </c>
      <c r="Z99" s="79">
        <f>30*30</f>
        <v>900</v>
      </c>
      <c r="AA99" s="118">
        <f>900*30</f>
        <v>27000</v>
      </c>
      <c r="AB99" s="110"/>
      <c r="AC99" s="110"/>
      <c r="AD99" s="110"/>
      <c r="AE99" s="110"/>
      <c r="AF99" s="110"/>
      <c r="AG99" s="110"/>
      <c r="AH99" s="110"/>
    </row>
    <row r="100" s="62" customFormat="1" ht="13" customHeight="1" spans="1:34">
      <c r="A100" s="110" t="s">
        <v>1182</v>
      </c>
      <c r="B100" s="110" t="s">
        <v>183</v>
      </c>
      <c r="C100" s="111" t="s">
        <v>1143</v>
      </c>
      <c r="D100" s="110" t="s">
        <v>1183</v>
      </c>
      <c r="E100" s="112">
        <v>46341</v>
      </c>
      <c r="F100" s="110" t="s">
        <v>1089</v>
      </c>
      <c r="G100" s="110">
        <v>330</v>
      </c>
      <c r="H100" s="79">
        <v>1385</v>
      </c>
      <c r="I100" s="79">
        <f t="shared" si="22"/>
        <v>457050</v>
      </c>
      <c r="J100" s="110">
        <f>60+120+40+80</f>
        <v>300</v>
      </c>
      <c r="K100" s="110">
        <f t="shared" si="23"/>
        <v>30</v>
      </c>
      <c r="L100" s="79">
        <v>457050</v>
      </c>
      <c r="M100" s="79">
        <f t="shared" si="24"/>
        <v>0</v>
      </c>
      <c r="N100" s="79">
        <f t="shared" si="25"/>
        <v>-41550</v>
      </c>
      <c r="O100" s="113">
        <f t="shared" si="26"/>
        <v>-277554</v>
      </c>
      <c r="P100" s="79">
        <v>0</v>
      </c>
      <c r="Q100" s="79">
        <f t="shared" si="27"/>
        <v>0</v>
      </c>
      <c r="R100" s="110">
        <v>6.68</v>
      </c>
      <c r="S100" s="113">
        <v>8765</v>
      </c>
      <c r="T100" s="113"/>
      <c r="U100" s="113">
        <f t="shared" si="28"/>
        <v>2892450</v>
      </c>
      <c r="V100" s="110" t="s">
        <v>1087</v>
      </c>
      <c r="W100" s="110" t="s">
        <v>155</v>
      </c>
      <c r="X100" s="110" t="s">
        <v>198</v>
      </c>
      <c r="Y100" s="79">
        <f>900*30</f>
        <v>27000</v>
      </c>
      <c r="Z100" s="79">
        <f>30*15</f>
        <v>450</v>
      </c>
      <c r="AA100" s="118">
        <f>4500*15</f>
        <v>67500</v>
      </c>
      <c r="AB100" s="110"/>
      <c r="AC100" s="110"/>
      <c r="AD100" s="110"/>
      <c r="AE100" s="110"/>
      <c r="AF100" s="110"/>
      <c r="AG100" s="110"/>
      <c r="AH100" s="110"/>
    </row>
    <row r="101" s="62" customFormat="1" ht="13" customHeight="1" spans="1:34">
      <c r="A101" s="110" t="s">
        <v>37</v>
      </c>
      <c r="B101" s="110" t="s">
        <v>183</v>
      </c>
      <c r="C101" s="111" t="s">
        <v>1096</v>
      </c>
      <c r="D101" s="110" t="s">
        <v>1184</v>
      </c>
      <c r="E101" s="112">
        <v>46341</v>
      </c>
      <c r="F101" s="110" t="s">
        <v>1064</v>
      </c>
      <c r="G101" s="110">
        <v>16.675</v>
      </c>
      <c r="H101" s="79">
        <v>1920</v>
      </c>
      <c r="I101" s="79">
        <f t="shared" si="22"/>
        <v>32016</v>
      </c>
      <c r="J101" s="110">
        <v>0</v>
      </c>
      <c r="K101" s="110">
        <f t="shared" si="23"/>
        <v>16.675</v>
      </c>
      <c r="L101" s="114">
        <f>长科收款!E93</f>
        <v>32016</v>
      </c>
      <c r="M101" s="114">
        <f t="shared" si="24"/>
        <v>0</v>
      </c>
      <c r="N101" s="114">
        <f t="shared" si="25"/>
        <v>-32016</v>
      </c>
      <c r="O101" s="115">
        <f t="shared" si="26"/>
        <v>-213706.8</v>
      </c>
      <c r="P101" s="79">
        <v>0</v>
      </c>
      <c r="Q101" s="79">
        <f t="shared" si="27"/>
        <v>0</v>
      </c>
      <c r="R101" s="110">
        <v>6.675</v>
      </c>
      <c r="S101" s="113">
        <v>14155</v>
      </c>
      <c r="T101" s="113">
        <v>14000</v>
      </c>
      <c r="U101" s="113">
        <f t="shared" si="28"/>
        <v>236034.625</v>
      </c>
      <c r="V101" s="110" t="s">
        <v>1060</v>
      </c>
      <c r="W101" s="110" t="s">
        <v>190</v>
      </c>
      <c r="X101" s="110" t="s">
        <v>1072</v>
      </c>
      <c r="Y101" s="79">
        <v>0</v>
      </c>
      <c r="Z101" s="79">
        <v>0</v>
      </c>
      <c r="AA101" s="118">
        <v>5500</v>
      </c>
      <c r="AB101" s="110"/>
      <c r="AC101" s="110"/>
      <c r="AD101" s="110"/>
      <c r="AE101" s="110"/>
      <c r="AF101" s="110"/>
      <c r="AG101" s="110"/>
      <c r="AH101" s="110"/>
    </row>
    <row r="102" s="62" customFormat="1" ht="13" customHeight="1" spans="1:34">
      <c r="A102" s="110" t="s">
        <v>25</v>
      </c>
      <c r="B102" s="110" t="s">
        <v>809</v>
      </c>
      <c r="C102" s="111" t="s">
        <v>1166</v>
      </c>
      <c r="D102" s="110" t="s">
        <v>1185</v>
      </c>
      <c r="E102" s="112">
        <v>46341</v>
      </c>
      <c r="F102" s="110" t="s">
        <v>1062</v>
      </c>
      <c r="G102" s="110">
        <v>110</v>
      </c>
      <c r="H102" s="79">
        <v>1640</v>
      </c>
      <c r="I102" s="79">
        <f t="shared" si="22"/>
        <v>180400</v>
      </c>
      <c r="J102" s="110">
        <v>0</v>
      </c>
      <c r="K102" s="110">
        <f t="shared" si="23"/>
        <v>110</v>
      </c>
      <c r="L102" s="79">
        <v>0</v>
      </c>
      <c r="M102" s="79">
        <f t="shared" si="24"/>
        <v>180400</v>
      </c>
      <c r="N102" s="79">
        <f t="shared" si="25"/>
        <v>0</v>
      </c>
      <c r="O102" s="113">
        <f t="shared" si="26"/>
        <v>0</v>
      </c>
      <c r="P102" s="79">
        <v>10</v>
      </c>
      <c r="Q102" s="79">
        <f t="shared" si="27"/>
        <v>1100</v>
      </c>
      <c r="R102" s="110">
        <v>6.675</v>
      </c>
      <c r="S102" s="113">
        <v>11093</v>
      </c>
      <c r="T102" s="113"/>
      <c r="U102" s="113">
        <f t="shared" si="28"/>
        <v>1220230</v>
      </c>
      <c r="V102" s="110" t="s">
        <v>1060</v>
      </c>
      <c r="W102" s="110" t="s">
        <v>155</v>
      </c>
      <c r="X102" s="110" t="s">
        <v>829</v>
      </c>
      <c r="Y102" s="79">
        <f>3700*4</f>
        <v>14800</v>
      </c>
      <c r="Z102" s="79">
        <f>50*4</f>
        <v>200</v>
      </c>
      <c r="AA102" s="118">
        <f>5000*4</f>
        <v>20000</v>
      </c>
      <c r="AB102" s="110"/>
      <c r="AC102" s="110"/>
      <c r="AD102" s="110"/>
      <c r="AE102" s="110"/>
      <c r="AF102" s="110"/>
      <c r="AG102" s="110"/>
      <c r="AH102" s="110"/>
    </row>
    <row r="103" s="62" customFormat="1" ht="13" customHeight="1" spans="1:34">
      <c r="A103" s="110" t="s">
        <v>25</v>
      </c>
      <c r="B103" s="110" t="s">
        <v>173</v>
      </c>
      <c r="C103" s="111" t="s">
        <v>1094</v>
      </c>
      <c r="D103" s="110" t="s">
        <v>1186</v>
      </c>
      <c r="E103" s="112">
        <v>46341</v>
      </c>
      <c r="F103" s="110" t="s">
        <v>1062</v>
      </c>
      <c r="G103" s="110">
        <v>55</v>
      </c>
      <c r="H103" s="79">
        <v>1640</v>
      </c>
      <c r="I103" s="79">
        <f t="shared" si="22"/>
        <v>90200</v>
      </c>
      <c r="J103" s="110">
        <v>0</v>
      </c>
      <c r="K103" s="110">
        <f t="shared" si="23"/>
        <v>55</v>
      </c>
      <c r="L103" s="79">
        <v>0</v>
      </c>
      <c r="M103" s="79">
        <f t="shared" si="24"/>
        <v>90200</v>
      </c>
      <c r="N103" s="79">
        <f t="shared" si="25"/>
        <v>0</v>
      </c>
      <c r="O103" s="113">
        <f t="shared" si="26"/>
        <v>0</v>
      </c>
      <c r="P103" s="79">
        <v>10</v>
      </c>
      <c r="Q103" s="79">
        <f t="shared" si="27"/>
        <v>550</v>
      </c>
      <c r="R103" s="110">
        <v>6.675</v>
      </c>
      <c r="S103" s="113">
        <v>11093</v>
      </c>
      <c r="T103" s="113"/>
      <c r="U103" s="113">
        <f t="shared" si="28"/>
        <v>610115</v>
      </c>
      <c r="V103" s="110" t="s">
        <v>1060</v>
      </c>
      <c r="W103" s="110" t="s">
        <v>155</v>
      </c>
      <c r="X103" s="110" t="s">
        <v>824</v>
      </c>
      <c r="Y103" s="79">
        <f>2*3700</f>
        <v>7400</v>
      </c>
      <c r="Z103" s="79">
        <f>2*50</f>
        <v>100</v>
      </c>
      <c r="AA103" s="118">
        <f>5000*2</f>
        <v>10000</v>
      </c>
      <c r="AB103" s="110"/>
      <c r="AC103" s="110"/>
      <c r="AD103" s="110"/>
      <c r="AE103" s="110"/>
      <c r="AF103" s="110"/>
      <c r="AG103" s="110"/>
      <c r="AH103" s="110"/>
    </row>
    <row r="104" s="62" customFormat="1" ht="13" customHeight="1" spans="1:34">
      <c r="A104" s="110" t="s">
        <v>25</v>
      </c>
      <c r="B104" s="110" t="s">
        <v>164</v>
      </c>
      <c r="C104" s="111" t="s">
        <v>833</v>
      </c>
      <c r="D104" s="110" t="s">
        <v>1187</v>
      </c>
      <c r="E104" s="112">
        <v>46346</v>
      </c>
      <c r="F104" s="110" t="s">
        <v>1062</v>
      </c>
      <c r="G104" s="110">
        <v>55</v>
      </c>
      <c r="H104" s="79">
        <v>1630</v>
      </c>
      <c r="I104" s="79">
        <f t="shared" si="22"/>
        <v>89650</v>
      </c>
      <c r="J104" s="110">
        <v>0</v>
      </c>
      <c r="K104" s="110">
        <f t="shared" si="23"/>
        <v>55</v>
      </c>
      <c r="L104" s="79">
        <v>0</v>
      </c>
      <c r="M104" s="79">
        <f t="shared" si="24"/>
        <v>89650</v>
      </c>
      <c r="N104" s="79">
        <f t="shared" si="25"/>
        <v>0</v>
      </c>
      <c r="O104" s="113">
        <f t="shared" si="26"/>
        <v>0</v>
      </c>
      <c r="P104" s="116" t="s">
        <v>1188</v>
      </c>
      <c r="Q104" s="117"/>
      <c r="R104" s="110">
        <v>6.6618</v>
      </c>
      <c r="S104" s="113">
        <v>11034</v>
      </c>
      <c r="T104" s="113"/>
      <c r="U104" s="113">
        <f t="shared" si="28"/>
        <v>606870</v>
      </c>
      <c r="V104" s="110" t="s">
        <v>1060</v>
      </c>
      <c r="W104" s="110" t="s">
        <v>155</v>
      </c>
      <c r="X104" s="110" t="s">
        <v>835</v>
      </c>
      <c r="Y104" s="79">
        <f>3800*2</f>
        <v>7600</v>
      </c>
      <c r="Z104" s="79">
        <f>50*2</f>
        <v>100</v>
      </c>
      <c r="AA104" s="118">
        <f>5000*2</f>
        <v>10000</v>
      </c>
      <c r="AB104" s="110"/>
      <c r="AC104" s="110"/>
      <c r="AD104" s="110"/>
      <c r="AE104" s="110"/>
      <c r="AF104" s="110"/>
      <c r="AG104" s="110"/>
      <c r="AH104" s="110"/>
    </row>
  </sheetData>
  <autoFilter xmlns:etc="http://www.wps.cn/officeDocument/2017/etCustomData" ref="A1:AH104" etc:filterBottomFollowUsedRange="0">
    <extLst/>
  </autoFilter>
  <mergeCells count="23">
    <mergeCell ref="P104:Q104"/>
    <mergeCell ref="Y3:Y5"/>
    <mergeCell ref="Y16:Y19"/>
    <mergeCell ref="Y42:Y45"/>
    <mergeCell ref="Y53:Y55"/>
    <mergeCell ref="Y56:Y58"/>
    <mergeCell ref="Y60:Y62"/>
    <mergeCell ref="Y68:Y69"/>
    <mergeCell ref="Y78:Y79"/>
    <mergeCell ref="Y94:Y95"/>
    <mergeCell ref="Z3:Z5"/>
    <mergeCell ref="Z16:Z19"/>
    <mergeCell ref="Z42:Z45"/>
    <mergeCell ref="Z53:Z55"/>
    <mergeCell ref="Z56:Z58"/>
    <mergeCell ref="Z60:Z62"/>
    <mergeCell ref="Z68:Z69"/>
    <mergeCell ref="Z94:Z95"/>
    <mergeCell ref="AA3:AA5"/>
    <mergeCell ref="AA16:AA19"/>
    <mergeCell ref="AA42:AA45"/>
    <mergeCell ref="AA94:AA95"/>
    <mergeCell ref="P60:Q62"/>
  </mergeCells>
  <pageMargins left="0.75" right="0.75" top="1" bottom="1" header="0.5" footer="0.5"/>
  <pageSetup paperSize="9" orientation="portrait"/>
  <headerFooter/>
  <ignoredErrors>
    <ignoredError sqref="L9 L13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topLeftCell="A79" workbookViewId="0">
      <selection activeCell="A91" sqref="A91:F93"/>
    </sheetView>
  </sheetViews>
  <sheetFormatPr defaultColWidth="9.02654867256637" defaultRowHeight="13.5" outlineLevelCol="5"/>
  <cols>
    <col min="1" max="1" width="8.92920353982301" customWidth="1"/>
    <col min="2" max="2" width="31.1769911504425" customWidth="1"/>
    <col min="3" max="3" width="28.7787610619469" customWidth="1"/>
    <col min="4" max="4" width="9.50442477876106" customWidth="1"/>
    <col min="5" max="5" width="13.7522123893805" customWidth="1"/>
    <col min="6" max="6" width="17.8849557522124" customWidth="1"/>
  </cols>
  <sheetData>
    <row r="1" spans="1:6">
      <c r="A1" s="42" t="s">
        <v>278</v>
      </c>
      <c r="B1" s="43" t="s">
        <v>279</v>
      </c>
      <c r="C1" s="42" t="s">
        <v>4</v>
      </c>
      <c r="D1" s="44" t="s">
        <v>1</v>
      </c>
      <c r="E1" s="42" t="s">
        <v>280</v>
      </c>
      <c r="F1" s="42" t="s">
        <v>148</v>
      </c>
    </row>
    <row r="2" ht="15" spans="1:6">
      <c r="A2" s="45">
        <v>46036</v>
      </c>
      <c r="B2" s="46" t="s">
        <v>1073</v>
      </c>
      <c r="C2" s="47" t="s">
        <v>1074</v>
      </c>
      <c r="D2" s="48" t="s">
        <v>281</v>
      </c>
      <c r="E2" s="49">
        <v>8722</v>
      </c>
      <c r="F2" s="50" t="s">
        <v>1189</v>
      </c>
    </row>
    <row r="3" ht="15" spans="1:6">
      <c r="A3" s="45">
        <v>46050</v>
      </c>
      <c r="B3" s="46" t="s">
        <v>1073</v>
      </c>
      <c r="C3" s="47" t="s">
        <v>1074</v>
      </c>
      <c r="E3" s="49">
        <v>20405</v>
      </c>
      <c r="F3" s="50" t="s">
        <v>1190</v>
      </c>
    </row>
    <row r="4" customFormat="1" ht="15" spans="1:6">
      <c r="A4" s="45">
        <v>46065</v>
      </c>
      <c r="B4" s="51" t="s">
        <v>1075</v>
      </c>
      <c r="C4" s="24" t="s">
        <v>1076</v>
      </c>
      <c r="D4" s="48" t="s">
        <v>281</v>
      </c>
      <c r="E4" s="49">
        <v>5850</v>
      </c>
      <c r="F4" s="50" t="s">
        <v>1191</v>
      </c>
    </row>
    <row r="5" s="1" customFormat="1" ht="15" spans="1:6">
      <c r="A5" s="45">
        <v>46090</v>
      </c>
      <c r="B5" s="46" t="s">
        <v>1083</v>
      </c>
      <c r="C5" s="47" t="s">
        <v>1084</v>
      </c>
      <c r="D5" s="47" t="s">
        <v>281</v>
      </c>
      <c r="E5" s="49">
        <v>48950</v>
      </c>
      <c r="F5" s="50" t="s">
        <v>1192</v>
      </c>
    </row>
    <row r="6" s="1" customFormat="1" ht="15" spans="1:6">
      <c r="A6" s="45">
        <v>46093</v>
      </c>
      <c r="B6" s="51" t="s">
        <v>847</v>
      </c>
      <c r="C6" s="24" t="s">
        <v>1081</v>
      </c>
      <c r="D6" s="47" t="s">
        <v>281</v>
      </c>
      <c r="E6" s="49">
        <v>33210</v>
      </c>
      <c r="F6" s="52" t="s">
        <v>1191</v>
      </c>
    </row>
    <row r="7" s="1" customFormat="1" ht="15" spans="1:6">
      <c r="A7" s="45">
        <v>46101</v>
      </c>
      <c r="B7" s="46" t="s">
        <v>1091</v>
      </c>
      <c r="C7" s="47" t="s">
        <v>1092</v>
      </c>
      <c r="D7" s="47" t="s">
        <v>281</v>
      </c>
      <c r="E7" s="49">
        <v>23625</v>
      </c>
      <c r="F7" s="50" t="s">
        <v>1193</v>
      </c>
    </row>
    <row r="8" s="1" customFormat="1" ht="15" spans="1:6">
      <c r="A8" s="45">
        <v>46101</v>
      </c>
      <c r="B8" s="46" t="s">
        <v>842</v>
      </c>
      <c r="C8" s="47" t="s">
        <v>1085</v>
      </c>
      <c r="D8" s="47" t="s">
        <v>281</v>
      </c>
      <c r="E8" s="49">
        <v>127520</v>
      </c>
      <c r="F8" s="50" t="s">
        <v>1194</v>
      </c>
    </row>
    <row r="9" s="1" customFormat="1" ht="15" spans="1:6">
      <c r="A9" s="45">
        <v>46106</v>
      </c>
      <c r="B9" s="46" t="s">
        <v>1094</v>
      </c>
      <c r="C9" s="47" t="s">
        <v>1095</v>
      </c>
      <c r="D9" s="47" t="s">
        <v>281</v>
      </c>
      <c r="E9" s="49">
        <v>20350</v>
      </c>
      <c r="F9" s="50" t="s">
        <v>1195</v>
      </c>
    </row>
    <row r="10" s="1" customFormat="1" ht="15" spans="1:6">
      <c r="A10" s="45">
        <v>46108</v>
      </c>
      <c r="B10" s="46" t="s">
        <v>1096</v>
      </c>
      <c r="C10" s="47" t="s">
        <v>1097</v>
      </c>
      <c r="D10" s="47" t="s">
        <v>281</v>
      </c>
      <c r="E10" s="49">
        <v>166320</v>
      </c>
      <c r="F10" s="50" t="s">
        <v>1195</v>
      </c>
    </row>
    <row r="11" s="1" customFormat="1" ht="15" spans="1:6">
      <c r="A11" s="45">
        <v>46111</v>
      </c>
      <c r="B11" s="46" t="s">
        <v>842</v>
      </c>
      <c r="C11" s="47" t="s">
        <v>1085</v>
      </c>
      <c r="D11" s="47" t="s">
        <v>281</v>
      </c>
      <c r="E11" s="49">
        <v>164800</v>
      </c>
      <c r="F11" s="50" t="s">
        <v>1195</v>
      </c>
    </row>
    <row r="12" s="1" customFormat="1" ht="15" spans="1:6">
      <c r="A12" s="45">
        <v>46111</v>
      </c>
      <c r="B12" s="46" t="s">
        <v>1096</v>
      </c>
      <c r="C12" s="47" t="s">
        <v>1097</v>
      </c>
      <c r="D12" s="47" t="s">
        <v>281</v>
      </c>
      <c r="E12" s="49">
        <v>83160</v>
      </c>
      <c r="F12" s="50" t="s">
        <v>1195</v>
      </c>
    </row>
    <row r="13" s="1" customFormat="1" ht="15" spans="1:6">
      <c r="A13" s="45">
        <v>46112</v>
      </c>
      <c r="B13" s="46" t="s">
        <v>839</v>
      </c>
      <c r="C13" s="47" t="s">
        <v>1196</v>
      </c>
      <c r="D13" s="47" t="s">
        <v>281</v>
      </c>
      <c r="E13" s="49">
        <v>6828.15</v>
      </c>
      <c r="F13" s="50" t="s">
        <v>1197</v>
      </c>
    </row>
    <row r="14" s="1" customFormat="1" ht="15" spans="1:6">
      <c r="A14" s="45">
        <v>46119</v>
      </c>
      <c r="B14" s="46" t="s">
        <v>1073</v>
      </c>
      <c r="C14" s="47" t="s">
        <v>1102</v>
      </c>
      <c r="D14" s="47" t="s">
        <v>281</v>
      </c>
      <c r="E14" s="49">
        <v>13035</v>
      </c>
      <c r="F14" s="50" t="s">
        <v>1189</v>
      </c>
    </row>
    <row r="15" s="1" customFormat="1" ht="14" customHeight="1" spans="1:6">
      <c r="A15" s="45">
        <v>46120</v>
      </c>
      <c r="B15" s="46" t="s">
        <v>1096</v>
      </c>
      <c r="C15" s="47" t="s">
        <v>1097</v>
      </c>
      <c r="D15" s="47" t="s">
        <v>281</v>
      </c>
      <c r="E15" s="49">
        <v>166320</v>
      </c>
      <c r="F15" s="50" t="s">
        <v>1198</v>
      </c>
    </row>
    <row r="16" s="1" customFormat="1" ht="15" spans="1:6">
      <c r="A16" s="45">
        <v>46120</v>
      </c>
      <c r="B16" s="46" t="s">
        <v>1096</v>
      </c>
      <c r="C16" s="47" t="s">
        <v>1101</v>
      </c>
      <c r="D16" s="47" t="s">
        <v>281</v>
      </c>
      <c r="E16" s="49">
        <v>153346.5</v>
      </c>
      <c r="F16" s="50" t="s">
        <v>1198</v>
      </c>
    </row>
    <row r="17" s="1" customFormat="1" ht="15" spans="1:6">
      <c r="A17" s="45">
        <v>46126</v>
      </c>
      <c r="B17" s="46" t="s">
        <v>1096</v>
      </c>
      <c r="C17" s="47" t="s">
        <v>1101</v>
      </c>
      <c r="D17" s="47" t="s">
        <v>281</v>
      </c>
      <c r="E17" s="49">
        <v>74601</v>
      </c>
      <c r="F17" s="50" t="s">
        <v>1198</v>
      </c>
    </row>
    <row r="18" s="1" customFormat="1" ht="15" spans="1:6">
      <c r="A18" s="45">
        <v>46128</v>
      </c>
      <c r="B18" s="46" t="s">
        <v>1096</v>
      </c>
      <c r="C18" s="24" t="s">
        <v>1100</v>
      </c>
      <c r="D18" s="47" t="s">
        <v>281</v>
      </c>
      <c r="E18" s="49">
        <v>122310</v>
      </c>
      <c r="F18" s="50" t="s">
        <v>1198</v>
      </c>
    </row>
    <row r="19" s="1" customFormat="1" ht="15" spans="1:6">
      <c r="A19" s="45">
        <v>46129</v>
      </c>
      <c r="B19" s="46" t="s">
        <v>842</v>
      </c>
      <c r="C19" s="24" t="s">
        <v>1085</v>
      </c>
      <c r="D19" s="47" t="s">
        <v>281</v>
      </c>
      <c r="E19" s="49">
        <v>345280</v>
      </c>
      <c r="F19" s="50" t="s">
        <v>1198</v>
      </c>
    </row>
    <row r="20" s="1" customFormat="1" ht="15" spans="1:6">
      <c r="A20" s="45">
        <v>46130</v>
      </c>
      <c r="B20" s="46" t="s">
        <v>847</v>
      </c>
      <c r="C20" s="24" t="s">
        <v>1104</v>
      </c>
      <c r="D20" s="47" t="s">
        <v>281</v>
      </c>
      <c r="E20" s="49">
        <v>48283</v>
      </c>
      <c r="F20" s="50" t="s">
        <v>1198</v>
      </c>
    </row>
    <row r="21" s="1" customFormat="1" ht="15" spans="1:6">
      <c r="A21" s="45">
        <v>46133</v>
      </c>
      <c r="B21" s="46" t="s">
        <v>1096</v>
      </c>
      <c r="C21" s="24" t="s">
        <v>1101</v>
      </c>
      <c r="D21" s="47" t="s">
        <v>281</v>
      </c>
      <c r="E21" s="49">
        <v>103342.5</v>
      </c>
      <c r="F21" s="50" t="s">
        <v>1198</v>
      </c>
    </row>
    <row r="22" s="1" customFormat="1" ht="14" customHeight="1" spans="1:6">
      <c r="A22" s="45">
        <v>46134</v>
      </c>
      <c r="B22" s="46" t="s">
        <v>1073</v>
      </c>
      <c r="C22" s="24" t="s">
        <v>1102</v>
      </c>
      <c r="D22" s="47" t="s">
        <v>281</v>
      </c>
      <c r="E22" s="49">
        <v>30415</v>
      </c>
      <c r="F22" s="50" t="s">
        <v>1198</v>
      </c>
    </row>
    <row r="23" s="1" customFormat="1" ht="15" spans="1:6">
      <c r="A23" s="45">
        <v>46134</v>
      </c>
      <c r="B23" s="46" t="s">
        <v>1096</v>
      </c>
      <c r="C23" s="24" t="s">
        <v>1101</v>
      </c>
      <c r="D23" s="47" t="s">
        <v>281</v>
      </c>
      <c r="E23" s="49">
        <v>83160</v>
      </c>
      <c r="F23" s="50" t="s">
        <v>1198</v>
      </c>
    </row>
    <row r="24" s="1" customFormat="1" ht="15" spans="1:6">
      <c r="A24" s="45">
        <v>46151</v>
      </c>
      <c r="B24" s="46" t="s">
        <v>1083</v>
      </c>
      <c r="C24" s="24" t="s">
        <v>1113</v>
      </c>
      <c r="D24" s="47" t="s">
        <v>281</v>
      </c>
      <c r="E24" s="49">
        <v>53900</v>
      </c>
      <c r="F24" s="50" t="s">
        <v>1198</v>
      </c>
    </row>
    <row r="25" s="1" customFormat="1" ht="15" spans="1:6">
      <c r="A25" s="45">
        <v>46153</v>
      </c>
      <c r="B25" s="46" t="s">
        <v>1096</v>
      </c>
      <c r="C25" s="24" t="s">
        <v>1101</v>
      </c>
      <c r="D25" s="47" t="s">
        <v>281</v>
      </c>
      <c r="E25" s="49">
        <v>186474.5</v>
      </c>
      <c r="F25" s="50" t="s">
        <v>1198</v>
      </c>
    </row>
    <row r="26" s="1" customFormat="1" ht="15" spans="1:6">
      <c r="A26" s="45">
        <v>46153</v>
      </c>
      <c r="B26" s="46" t="s">
        <v>1094</v>
      </c>
      <c r="C26" s="24" t="s">
        <v>1095</v>
      </c>
      <c r="D26" s="47" t="s">
        <v>281</v>
      </c>
      <c r="E26" s="49">
        <v>20350</v>
      </c>
      <c r="F26" s="50" t="s">
        <v>1198</v>
      </c>
    </row>
    <row r="27" s="1" customFormat="1" ht="15" spans="1:6">
      <c r="A27" s="45">
        <v>46157</v>
      </c>
      <c r="B27" s="46" t="s">
        <v>1115</v>
      </c>
      <c r="C27" s="24" t="s">
        <v>1116</v>
      </c>
      <c r="D27" s="47" t="s">
        <v>281</v>
      </c>
      <c r="E27" s="49">
        <v>680400</v>
      </c>
      <c r="F27" s="50" t="s">
        <v>1198</v>
      </c>
    </row>
    <row r="28" s="1" customFormat="1" ht="14" customHeight="1" spans="1:6">
      <c r="A28" s="45">
        <v>46154</v>
      </c>
      <c r="B28" s="46" t="s">
        <v>1068</v>
      </c>
      <c r="C28" s="24" t="s">
        <v>1069</v>
      </c>
      <c r="D28" s="47" t="s">
        <v>281</v>
      </c>
      <c r="E28" s="49">
        <v>56925</v>
      </c>
      <c r="F28" s="50" t="s">
        <v>1198</v>
      </c>
    </row>
    <row r="29" s="1" customFormat="1" ht="15" spans="1:6">
      <c r="A29" s="45">
        <v>46160</v>
      </c>
      <c r="B29" s="51" t="s">
        <v>1091</v>
      </c>
      <c r="C29" s="24" t="s">
        <v>1114</v>
      </c>
      <c r="D29" s="47" t="s">
        <v>281</v>
      </c>
      <c r="E29" s="49">
        <v>23100</v>
      </c>
      <c r="F29" s="50" t="s">
        <v>1199</v>
      </c>
    </row>
    <row r="30" s="1" customFormat="1" ht="15" spans="1:6">
      <c r="A30" s="45">
        <v>46164</v>
      </c>
      <c r="B30" s="51" t="s">
        <v>1121</v>
      </c>
      <c r="C30" s="24" t="s">
        <v>1122</v>
      </c>
      <c r="D30" s="47" t="s">
        <v>281</v>
      </c>
      <c r="E30" s="53">
        <v>192500</v>
      </c>
      <c r="F30" s="50" t="s">
        <v>1198</v>
      </c>
    </row>
    <row r="31" s="1" customFormat="1" ht="15" spans="1:6">
      <c r="A31" s="45">
        <v>46168</v>
      </c>
      <c r="B31" s="51" t="s">
        <v>847</v>
      </c>
      <c r="C31" s="24" t="s">
        <v>1118</v>
      </c>
      <c r="D31" s="47" t="s">
        <v>281</v>
      </c>
      <c r="E31" s="53">
        <v>45900</v>
      </c>
      <c r="F31" s="50" t="s">
        <v>1198</v>
      </c>
    </row>
    <row r="32" s="1" customFormat="1" ht="15" spans="1:6">
      <c r="A32" s="45">
        <v>46171</v>
      </c>
      <c r="B32" s="46" t="s">
        <v>1070</v>
      </c>
      <c r="C32" s="24" t="s">
        <v>1071</v>
      </c>
      <c r="D32" s="47" t="s">
        <v>917</v>
      </c>
      <c r="E32" s="49">
        <v>54175</v>
      </c>
      <c r="F32" s="50" t="s">
        <v>918</v>
      </c>
    </row>
    <row r="33" s="1" customFormat="1" ht="15" spans="1:6">
      <c r="A33" s="45">
        <v>46175</v>
      </c>
      <c r="B33" s="46" t="s">
        <v>1073</v>
      </c>
      <c r="C33" s="24" t="s">
        <v>1123</v>
      </c>
      <c r="D33" s="47" t="s">
        <v>281</v>
      </c>
      <c r="E33" s="49">
        <v>12375</v>
      </c>
      <c r="F33" s="50" t="s">
        <v>1198</v>
      </c>
    </row>
    <row r="34" s="1" customFormat="1" ht="15" spans="1:6">
      <c r="A34" s="45">
        <v>46175</v>
      </c>
      <c r="B34" s="46" t="s">
        <v>839</v>
      </c>
      <c r="C34" s="24" t="s">
        <v>1196</v>
      </c>
      <c r="D34" s="47" t="s">
        <v>281</v>
      </c>
      <c r="E34" s="49">
        <v>13427.85</v>
      </c>
      <c r="F34" s="50" t="s">
        <v>1200</v>
      </c>
    </row>
    <row r="35" s="1" customFormat="1" ht="15" spans="1:6">
      <c r="A35" s="45">
        <v>46184</v>
      </c>
      <c r="B35" s="46" t="s">
        <v>842</v>
      </c>
      <c r="C35" s="24" t="s">
        <v>1120</v>
      </c>
      <c r="D35" s="47" t="s">
        <v>281</v>
      </c>
      <c r="E35" s="49">
        <v>126600</v>
      </c>
      <c r="F35" s="50" t="s">
        <v>1198</v>
      </c>
    </row>
    <row r="36" s="1" customFormat="1" ht="15" spans="1:6">
      <c r="A36" s="45">
        <v>46189</v>
      </c>
      <c r="B36" s="51" t="s">
        <v>1073</v>
      </c>
      <c r="C36" s="24" t="s">
        <v>1123</v>
      </c>
      <c r="D36" s="47" t="s">
        <v>281</v>
      </c>
      <c r="E36" s="49">
        <v>28875</v>
      </c>
      <c r="F36" s="50" t="s">
        <v>1198</v>
      </c>
    </row>
    <row r="37" s="1" customFormat="1" ht="15" spans="1:6">
      <c r="A37" s="45">
        <v>46191</v>
      </c>
      <c r="B37" s="51" t="s">
        <v>1106</v>
      </c>
      <c r="C37" s="24" t="s">
        <v>1107</v>
      </c>
      <c r="D37" s="47" t="s">
        <v>917</v>
      </c>
      <c r="E37" s="49">
        <v>91300</v>
      </c>
      <c r="F37" s="50" t="s">
        <v>918</v>
      </c>
    </row>
    <row r="38" s="1" customFormat="1" ht="15" spans="1:6">
      <c r="A38" s="45">
        <v>46195</v>
      </c>
      <c r="B38" s="46" t="s">
        <v>842</v>
      </c>
      <c r="C38" s="24" t="s">
        <v>1119</v>
      </c>
      <c r="D38" s="47" t="s">
        <v>281</v>
      </c>
      <c r="E38" s="49">
        <v>89500</v>
      </c>
      <c r="F38" s="50" t="s">
        <v>1198</v>
      </c>
    </row>
    <row r="39" s="1" customFormat="1" ht="15" spans="1:6">
      <c r="A39" s="45">
        <v>46195</v>
      </c>
      <c r="B39" s="46" t="s">
        <v>1201</v>
      </c>
      <c r="C39" s="24"/>
      <c r="D39" s="47" t="s">
        <v>281</v>
      </c>
      <c r="E39" s="49">
        <v>460330</v>
      </c>
      <c r="F39" s="50" t="s">
        <v>1198</v>
      </c>
    </row>
    <row r="40" s="1" customFormat="1" ht="15" spans="1:6">
      <c r="A40" s="45">
        <v>46198</v>
      </c>
      <c r="B40" s="46" t="s">
        <v>1201</v>
      </c>
      <c r="C40" s="24"/>
      <c r="D40" s="47" t="s">
        <v>281</v>
      </c>
      <c r="E40" s="49">
        <v>470792.5</v>
      </c>
      <c r="F40" s="50" t="s">
        <v>1198</v>
      </c>
    </row>
    <row r="41" s="1" customFormat="1" ht="15" spans="1:6">
      <c r="A41" s="45">
        <v>46202</v>
      </c>
      <c r="B41" s="46" t="s">
        <v>842</v>
      </c>
      <c r="C41" s="24" t="s">
        <v>1119</v>
      </c>
      <c r="D41" s="47" t="s">
        <v>281</v>
      </c>
      <c r="E41" s="49">
        <v>304300</v>
      </c>
      <c r="F41" s="50" t="s">
        <v>1202</v>
      </c>
    </row>
    <row r="42" s="1" customFormat="1" ht="15" spans="1:6">
      <c r="A42" s="45">
        <v>46206</v>
      </c>
      <c r="B42" s="51" t="s">
        <v>1083</v>
      </c>
      <c r="C42" s="24" t="s">
        <v>1126</v>
      </c>
      <c r="D42" s="47" t="s">
        <v>281</v>
      </c>
      <c r="E42" s="49">
        <v>47025</v>
      </c>
      <c r="F42" s="50" t="s">
        <v>1199</v>
      </c>
    </row>
    <row r="43" s="1" customFormat="1" ht="15" spans="1:6">
      <c r="A43" s="45">
        <v>46209</v>
      </c>
      <c r="B43" s="51" t="s">
        <v>1127</v>
      </c>
      <c r="C43" s="24" t="s">
        <v>1128</v>
      </c>
      <c r="D43" s="47" t="s">
        <v>281</v>
      </c>
      <c r="E43" s="49">
        <v>27000</v>
      </c>
      <c r="F43" s="50" t="s">
        <v>1199</v>
      </c>
    </row>
    <row r="44" s="1" customFormat="1" ht="15" spans="1:6">
      <c r="A44" s="45">
        <v>46212</v>
      </c>
      <c r="B44" s="46" t="s">
        <v>1201</v>
      </c>
      <c r="C44" s="24"/>
      <c r="D44" s="47" t="s">
        <v>281</v>
      </c>
      <c r="E44" s="49">
        <v>156937.5</v>
      </c>
      <c r="F44" s="50" t="s">
        <v>1198</v>
      </c>
    </row>
    <row r="45" s="1" customFormat="1" ht="15" spans="1:6">
      <c r="A45" s="45">
        <v>46218</v>
      </c>
      <c r="B45" s="46" t="s">
        <v>1115</v>
      </c>
      <c r="C45" s="24" t="s">
        <v>1132</v>
      </c>
      <c r="D45" s="47" t="s">
        <v>281</v>
      </c>
      <c r="E45" s="53">
        <v>408240</v>
      </c>
      <c r="F45" s="50" t="s">
        <v>1199</v>
      </c>
    </row>
    <row r="46" s="1" customFormat="1" ht="15" spans="1:6">
      <c r="A46" s="45">
        <v>46219</v>
      </c>
      <c r="B46" s="51" t="s">
        <v>1094</v>
      </c>
      <c r="C46" s="24" t="s">
        <v>1203</v>
      </c>
      <c r="D46" s="47" t="s">
        <v>917</v>
      </c>
      <c r="E46" s="53">
        <v>122100</v>
      </c>
      <c r="F46" s="50" t="s">
        <v>918</v>
      </c>
    </row>
    <row r="47" s="1" customFormat="1" ht="15" spans="1:6">
      <c r="A47" s="45">
        <v>46219</v>
      </c>
      <c r="B47" s="51" t="s">
        <v>1094</v>
      </c>
      <c r="C47" s="24" t="s">
        <v>1204</v>
      </c>
      <c r="D47" s="47" t="s">
        <v>917</v>
      </c>
      <c r="E47" s="53">
        <v>122100</v>
      </c>
      <c r="F47" s="50" t="s">
        <v>918</v>
      </c>
    </row>
    <row r="48" s="1" customFormat="1" ht="15" spans="1:6">
      <c r="A48" s="45">
        <v>46219</v>
      </c>
      <c r="B48" s="46" t="s">
        <v>847</v>
      </c>
      <c r="C48" s="24" t="s">
        <v>1129</v>
      </c>
      <c r="D48" s="47" t="s">
        <v>281</v>
      </c>
      <c r="E48" s="49">
        <v>40230</v>
      </c>
      <c r="F48" s="50" t="s">
        <v>1199</v>
      </c>
    </row>
    <row r="49" s="1" customFormat="1" ht="15" spans="1:6">
      <c r="A49" s="45">
        <v>46220</v>
      </c>
      <c r="B49" s="51" t="s">
        <v>1098</v>
      </c>
      <c r="C49" s="24" t="s">
        <v>1099</v>
      </c>
      <c r="D49" s="47" t="s">
        <v>917</v>
      </c>
      <c r="E49" s="49">
        <v>183680</v>
      </c>
      <c r="F49" s="50" t="s">
        <v>918</v>
      </c>
    </row>
    <row r="50" s="1" customFormat="1" ht="15" spans="1:6">
      <c r="A50" s="45">
        <v>46223</v>
      </c>
      <c r="B50" s="46" t="s">
        <v>1073</v>
      </c>
      <c r="C50" s="24" t="s">
        <v>1130</v>
      </c>
      <c r="D50" s="47" t="s">
        <v>281</v>
      </c>
      <c r="E50" s="49">
        <v>10477.5</v>
      </c>
      <c r="F50" s="50" t="s">
        <v>1205</v>
      </c>
    </row>
    <row r="51" s="1" customFormat="1" ht="15" spans="1:6">
      <c r="A51" s="45">
        <v>46224</v>
      </c>
      <c r="B51" s="46" t="s">
        <v>1096</v>
      </c>
      <c r="C51" s="24" t="s">
        <v>1101</v>
      </c>
      <c r="D51" s="47" t="s">
        <v>281</v>
      </c>
      <c r="E51" s="49">
        <f>27*1535*0.9</f>
        <v>37300.5</v>
      </c>
      <c r="F51" s="50" t="s">
        <v>1206</v>
      </c>
    </row>
    <row r="52" s="1" customFormat="1" ht="15" spans="1:6">
      <c r="A52" s="45">
        <v>46224</v>
      </c>
      <c r="B52" s="46" t="s">
        <v>1096</v>
      </c>
      <c r="C52" s="24" t="s">
        <v>1131</v>
      </c>
      <c r="D52" s="47" t="s">
        <v>281</v>
      </c>
      <c r="E52" s="49">
        <f>54*1240</f>
        <v>66960</v>
      </c>
      <c r="F52" s="50" t="s">
        <v>1207</v>
      </c>
    </row>
    <row r="53" s="1" customFormat="1" ht="15" spans="1:6">
      <c r="A53" s="45">
        <v>46234</v>
      </c>
      <c r="B53" s="46" t="s">
        <v>833</v>
      </c>
      <c r="C53" s="24" t="s">
        <v>1208</v>
      </c>
      <c r="D53" s="47" t="s">
        <v>281</v>
      </c>
      <c r="E53" s="49">
        <v>7147.5</v>
      </c>
      <c r="F53" s="50" t="s">
        <v>384</v>
      </c>
    </row>
    <row r="54" s="1" customFormat="1" ht="15" spans="1:6">
      <c r="A54" s="45">
        <v>46237</v>
      </c>
      <c r="B54" s="46" t="s">
        <v>833</v>
      </c>
      <c r="C54" s="24" t="s">
        <v>1209</v>
      </c>
      <c r="D54" s="47" t="s">
        <v>281</v>
      </c>
      <c r="E54" s="49">
        <v>7147.5</v>
      </c>
      <c r="F54" s="50" t="s">
        <v>384</v>
      </c>
    </row>
    <row r="55" s="1" customFormat="1" ht="14" customHeight="1" spans="1:6">
      <c r="A55" s="45">
        <v>46237</v>
      </c>
      <c r="B55" s="46" t="s">
        <v>833</v>
      </c>
      <c r="C55" s="24" t="s">
        <v>1210</v>
      </c>
      <c r="D55" s="47" t="s">
        <v>281</v>
      </c>
      <c r="E55" s="49">
        <v>7147.5</v>
      </c>
      <c r="F55" s="50" t="s">
        <v>384</v>
      </c>
    </row>
    <row r="56" s="1" customFormat="1" ht="14" customHeight="1" spans="1:6">
      <c r="A56" s="45">
        <v>46237</v>
      </c>
      <c r="B56" s="46" t="s">
        <v>1096</v>
      </c>
      <c r="C56" s="24" t="s">
        <v>1131</v>
      </c>
      <c r="D56" s="47" t="s">
        <v>281</v>
      </c>
      <c r="E56" s="49">
        <f>54*长科!H50</f>
        <v>66960</v>
      </c>
      <c r="F56" s="50" t="s">
        <v>1211</v>
      </c>
    </row>
    <row r="57" s="1" customFormat="1" ht="14" customHeight="1" spans="1:6">
      <c r="A57" s="45">
        <v>46237</v>
      </c>
      <c r="B57" s="46" t="s">
        <v>1096</v>
      </c>
      <c r="C57" s="24" t="s">
        <v>1133</v>
      </c>
      <c r="D57" s="47" t="s">
        <v>281</v>
      </c>
      <c r="E57" s="49">
        <f>27*长科!H52</f>
        <v>33615</v>
      </c>
      <c r="F57" s="50" t="s">
        <v>1212</v>
      </c>
    </row>
    <row r="58" s="1" customFormat="1" ht="14" customHeight="1" spans="1:6">
      <c r="A58" s="45">
        <v>46246</v>
      </c>
      <c r="B58" s="46" t="s">
        <v>1143</v>
      </c>
      <c r="C58" s="24" t="s">
        <v>1144</v>
      </c>
      <c r="D58" s="47" t="s">
        <v>281</v>
      </c>
      <c r="E58" s="49">
        <v>424200</v>
      </c>
      <c r="F58" s="50" t="s">
        <v>1213</v>
      </c>
    </row>
    <row r="59" s="1" customFormat="1" ht="14" customHeight="1" spans="1:6">
      <c r="A59" s="45">
        <v>46246</v>
      </c>
      <c r="B59" s="46" t="s">
        <v>833</v>
      </c>
      <c r="C59" s="24" t="s">
        <v>1149</v>
      </c>
      <c r="D59" s="47" t="s">
        <v>281</v>
      </c>
      <c r="E59" s="49">
        <v>7335</v>
      </c>
      <c r="F59" s="50" t="s">
        <v>1214</v>
      </c>
    </row>
    <row r="60" s="1" customFormat="1" ht="14" customHeight="1" spans="1:6">
      <c r="A60" s="45">
        <v>46246</v>
      </c>
      <c r="B60" s="46" t="s">
        <v>833</v>
      </c>
      <c r="C60" s="24" t="s">
        <v>1149</v>
      </c>
      <c r="D60" s="47" t="s">
        <v>281</v>
      </c>
      <c r="E60" s="49">
        <v>7060</v>
      </c>
      <c r="F60" s="50" t="s">
        <v>1215</v>
      </c>
    </row>
    <row r="61" s="1" customFormat="1" ht="14" customHeight="1" spans="1:6">
      <c r="A61" s="45">
        <v>46247</v>
      </c>
      <c r="B61" s="46" t="s">
        <v>1073</v>
      </c>
      <c r="C61" s="24" t="s">
        <v>1130</v>
      </c>
      <c r="D61" s="47" t="s">
        <v>281</v>
      </c>
      <c r="E61" s="49">
        <v>24447.5</v>
      </c>
      <c r="F61" s="50" t="s">
        <v>1205</v>
      </c>
    </row>
    <row r="62" s="1" customFormat="1" ht="14" customHeight="1" spans="1:6">
      <c r="A62" s="45">
        <v>46247</v>
      </c>
      <c r="B62" s="46" t="s">
        <v>1152</v>
      </c>
      <c r="C62" s="24" t="s">
        <v>1153</v>
      </c>
      <c r="D62" s="47" t="s">
        <v>281</v>
      </c>
      <c r="E62" s="49">
        <v>11343.75</v>
      </c>
      <c r="F62" s="50" t="s">
        <v>1216</v>
      </c>
    </row>
    <row r="63" s="1" customFormat="1" ht="14" customHeight="1" spans="1:6">
      <c r="A63" s="45">
        <v>46247</v>
      </c>
      <c r="B63" s="46" t="s">
        <v>1096</v>
      </c>
      <c r="C63" s="24" t="s">
        <v>1150</v>
      </c>
      <c r="D63" s="47" t="s">
        <v>281</v>
      </c>
      <c r="E63" s="49">
        <v>134352</v>
      </c>
      <c r="F63" s="50" t="s">
        <v>1199</v>
      </c>
    </row>
    <row r="64" s="1" customFormat="1" ht="14" customHeight="1" spans="1:6">
      <c r="A64" s="45">
        <v>46247</v>
      </c>
      <c r="B64" s="46" t="s">
        <v>1096</v>
      </c>
      <c r="C64" s="24" t="s">
        <v>1101</v>
      </c>
      <c r="D64" s="47" t="s">
        <v>281</v>
      </c>
      <c r="E64" s="49">
        <v>37300.5</v>
      </c>
      <c r="F64" s="50" t="s">
        <v>1217</v>
      </c>
    </row>
    <row r="65" s="1" customFormat="1" ht="14" customHeight="1" spans="1:6">
      <c r="A65" s="45">
        <v>46252</v>
      </c>
      <c r="B65" s="46" t="s">
        <v>842</v>
      </c>
      <c r="C65" s="24" t="s">
        <v>1119</v>
      </c>
      <c r="D65" s="47" t="s">
        <v>281</v>
      </c>
      <c r="E65" s="49">
        <v>89502.11</v>
      </c>
      <c r="F65" s="50" t="s">
        <v>1218</v>
      </c>
    </row>
    <row r="66" s="1" customFormat="1" ht="14" customHeight="1" spans="1:6">
      <c r="A66" s="45">
        <v>46254</v>
      </c>
      <c r="B66" s="46" t="s">
        <v>1065</v>
      </c>
      <c r="C66" s="24" t="s">
        <v>1160</v>
      </c>
      <c r="D66" s="47" t="s">
        <v>281</v>
      </c>
      <c r="E66" s="49">
        <v>10601.25</v>
      </c>
      <c r="F66" s="50" t="s">
        <v>1219</v>
      </c>
    </row>
    <row r="67" s="1" customFormat="1" ht="14" customHeight="1" spans="1:6">
      <c r="A67" s="45">
        <v>46254</v>
      </c>
      <c r="B67" s="46" t="s">
        <v>1096</v>
      </c>
      <c r="C67" s="24" t="s">
        <v>1151</v>
      </c>
      <c r="D67" s="47" t="s">
        <v>281</v>
      </c>
      <c r="E67" s="49">
        <v>134352</v>
      </c>
      <c r="F67" s="50" t="s">
        <v>1199</v>
      </c>
    </row>
    <row r="68" s="1" customFormat="1" ht="14" customHeight="1" spans="1:6">
      <c r="A68" s="45">
        <v>46254</v>
      </c>
      <c r="B68" s="46" t="s">
        <v>1096</v>
      </c>
      <c r="C68" s="24" t="s">
        <v>1101</v>
      </c>
      <c r="D68" s="47" t="s">
        <v>281</v>
      </c>
      <c r="E68" s="49">
        <v>37300.5</v>
      </c>
      <c r="F68" s="50" t="s">
        <v>1220</v>
      </c>
    </row>
    <row r="69" s="1" customFormat="1" ht="14" customHeight="1" spans="1:6">
      <c r="A69" s="45">
        <v>46259</v>
      </c>
      <c r="B69" s="46" t="s">
        <v>1143</v>
      </c>
      <c r="C69" s="24" t="s">
        <v>1161</v>
      </c>
      <c r="D69" s="47" t="s">
        <v>281</v>
      </c>
      <c r="E69" s="49">
        <v>208000</v>
      </c>
      <c r="F69" s="50" t="s">
        <v>1199</v>
      </c>
    </row>
    <row r="70" s="1" customFormat="1" ht="14" customHeight="1" spans="1:6">
      <c r="A70" s="45">
        <v>46259</v>
      </c>
      <c r="B70" s="46" t="s">
        <v>1098</v>
      </c>
      <c r="C70" s="24" t="s">
        <v>1103</v>
      </c>
      <c r="D70" s="47" t="s">
        <v>917</v>
      </c>
      <c r="E70" s="49">
        <v>174555</v>
      </c>
      <c r="F70" s="50" t="s">
        <v>918</v>
      </c>
    </row>
    <row r="71" s="1" customFormat="1" ht="15" spans="1:6">
      <c r="A71" s="45">
        <v>46261</v>
      </c>
      <c r="B71" s="51" t="s">
        <v>1115</v>
      </c>
      <c r="C71" s="24" t="s">
        <v>1168</v>
      </c>
      <c r="D71" s="47" t="s">
        <v>281</v>
      </c>
      <c r="E71" s="53">
        <v>646400</v>
      </c>
      <c r="F71" s="50" t="s">
        <v>1199</v>
      </c>
    </row>
    <row r="72" s="1" customFormat="1" ht="14" customHeight="1" spans="1:6">
      <c r="A72" s="45">
        <v>46262</v>
      </c>
      <c r="B72" s="46" t="s">
        <v>1143</v>
      </c>
      <c r="C72" s="24" t="s">
        <v>1162</v>
      </c>
      <c r="D72" s="47" t="s">
        <v>281</v>
      </c>
      <c r="E72" s="49">
        <v>1150000</v>
      </c>
      <c r="F72" s="50" t="s">
        <v>1198</v>
      </c>
    </row>
    <row r="73" s="1" customFormat="1" ht="14" customHeight="1" spans="1:6">
      <c r="A73" s="45">
        <v>46262</v>
      </c>
      <c r="B73" s="46" t="s">
        <v>1111</v>
      </c>
      <c r="C73" s="24" t="s">
        <v>1112</v>
      </c>
      <c r="D73" s="47" t="s">
        <v>917</v>
      </c>
      <c r="E73" s="49">
        <v>44275</v>
      </c>
      <c r="F73" s="50" t="s">
        <v>918</v>
      </c>
    </row>
    <row r="74" s="1" customFormat="1" ht="14" customHeight="1" spans="1:6">
      <c r="A74" s="45">
        <v>46267</v>
      </c>
      <c r="B74" s="46" t="s">
        <v>833</v>
      </c>
      <c r="C74" s="24" t="s">
        <v>1208</v>
      </c>
      <c r="D74" s="47" t="s">
        <v>281</v>
      </c>
      <c r="E74" s="49">
        <v>28730</v>
      </c>
      <c r="F74" s="50" t="s">
        <v>1221</v>
      </c>
    </row>
    <row r="75" s="1" customFormat="1" ht="14" customHeight="1" spans="1:6">
      <c r="A75" s="45">
        <v>46267</v>
      </c>
      <c r="B75" s="46" t="s">
        <v>833</v>
      </c>
      <c r="C75" s="24" t="s">
        <v>1209</v>
      </c>
      <c r="D75" s="47" t="s">
        <v>281</v>
      </c>
      <c r="E75" s="49">
        <v>28730</v>
      </c>
      <c r="F75" s="50" t="s">
        <v>1221</v>
      </c>
    </row>
    <row r="76" s="1" customFormat="1" ht="14" customHeight="1" spans="1:6">
      <c r="A76" s="45">
        <v>46269</v>
      </c>
      <c r="B76" s="46" t="s">
        <v>1152</v>
      </c>
      <c r="C76" s="24" t="s">
        <v>1169</v>
      </c>
      <c r="D76" s="47" t="s">
        <v>281</v>
      </c>
      <c r="E76" s="49">
        <v>11099.5</v>
      </c>
      <c r="F76" s="50" t="s">
        <v>1222</v>
      </c>
    </row>
    <row r="77" s="1" customFormat="1" ht="15" spans="1:6">
      <c r="A77" s="45">
        <v>46273</v>
      </c>
      <c r="B77" s="51" t="s">
        <v>1171</v>
      </c>
      <c r="C77" s="24" t="s">
        <v>1172</v>
      </c>
      <c r="D77" s="47" t="s">
        <v>281</v>
      </c>
      <c r="E77" s="53">
        <v>16700</v>
      </c>
      <c r="F77" s="50" t="s">
        <v>1199</v>
      </c>
    </row>
    <row r="78" s="1" customFormat="1" ht="14" customHeight="1" spans="1:6">
      <c r="A78" s="45">
        <v>46274</v>
      </c>
      <c r="B78" s="46" t="s">
        <v>1065</v>
      </c>
      <c r="C78" s="24" t="s">
        <v>1170</v>
      </c>
      <c r="D78" s="47" t="s">
        <v>281</v>
      </c>
      <c r="E78" s="49">
        <v>11137.5</v>
      </c>
      <c r="F78" s="50" t="s">
        <v>1223</v>
      </c>
    </row>
    <row r="79" s="1" customFormat="1" ht="14" customHeight="1" spans="1:6">
      <c r="A79" s="45">
        <v>46288</v>
      </c>
      <c r="B79" s="46" t="s">
        <v>833</v>
      </c>
      <c r="C79" s="24" t="s">
        <v>1210</v>
      </c>
      <c r="D79" s="47" t="s">
        <v>281</v>
      </c>
      <c r="E79" s="49">
        <v>28690</v>
      </c>
      <c r="F79" s="50" t="s">
        <v>1221</v>
      </c>
    </row>
    <row r="80" s="1" customFormat="1" ht="14" customHeight="1" spans="1:6">
      <c r="A80" s="45">
        <v>46289</v>
      </c>
      <c r="B80" s="51" t="s">
        <v>1152</v>
      </c>
      <c r="C80" s="24" t="s">
        <v>1153</v>
      </c>
      <c r="D80" s="47" t="s">
        <v>281</v>
      </c>
      <c r="E80" s="49">
        <v>26468.75</v>
      </c>
      <c r="F80" s="50" t="s">
        <v>1224</v>
      </c>
    </row>
    <row r="81" s="1" customFormat="1" ht="14" customHeight="1" spans="1:6">
      <c r="A81" s="45">
        <v>46293</v>
      </c>
      <c r="B81" s="46" t="s">
        <v>1001</v>
      </c>
      <c r="C81" s="24" t="s">
        <v>1175</v>
      </c>
      <c r="D81" s="47" t="s">
        <v>281</v>
      </c>
      <c r="E81" s="49">
        <v>51480</v>
      </c>
      <c r="F81" s="50" t="s">
        <v>384</v>
      </c>
    </row>
    <row r="82" s="1" customFormat="1" ht="14" customHeight="1" spans="1:6">
      <c r="A82" s="45">
        <v>46294</v>
      </c>
      <c r="B82" s="46" t="s">
        <v>1140</v>
      </c>
      <c r="C82" s="24" t="s">
        <v>1141</v>
      </c>
      <c r="D82" s="47" t="s">
        <v>281</v>
      </c>
      <c r="E82" s="49">
        <v>37400</v>
      </c>
      <c r="F82" s="50" t="s">
        <v>918</v>
      </c>
    </row>
    <row r="83" s="1" customFormat="1" ht="14" customHeight="1" spans="1:6">
      <c r="A83" s="45">
        <v>46303</v>
      </c>
      <c r="B83" s="46" t="s">
        <v>1176</v>
      </c>
      <c r="C83" s="24" t="s">
        <v>1177</v>
      </c>
      <c r="D83" s="47" t="s">
        <v>281</v>
      </c>
      <c r="E83" s="49">
        <v>135520</v>
      </c>
      <c r="F83" s="50" t="s">
        <v>384</v>
      </c>
    </row>
    <row r="84" s="1" customFormat="1" ht="14" customHeight="1" spans="1:6">
      <c r="A84" s="45">
        <v>46304</v>
      </c>
      <c r="B84" s="46" t="s">
        <v>833</v>
      </c>
      <c r="C84" s="24" t="s">
        <v>1149</v>
      </c>
      <c r="D84" s="47" t="s">
        <v>281</v>
      </c>
      <c r="E84" s="49">
        <v>28337</v>
      </c>
      <c r="F84" s="50" t="s">
        <v>1225</v>
      </c>
    </row>
    <row r="85" s="1" customFormat="1" ht="15" spans="1:6">
      <c r="A85" s="45">
        <v>46304</v>
      </c>
      <c r="B85" s="46" t="s">
        <v>833</v>
      </c>
      <c r="C85" s="24" t="s">
        <v>1149</v>
      </c>
      <c r="D85" s="47" t="s">
        <v>281</v>
      </c>
      <c r="E85" s="49">
        <v>29437</v>
      </c>
      <c r="F85" s="50" t="s">
        <v>1226</v>
      </c>
    </row>
    <row r="86" s="1" customFormat="1" ht="15" spans="1:6">
      <c r="A86" s="45">
        <v>46304</v>
      </c>
      <c r="B86" s="46" t="s">
        <v>1096</v>
      </c>
      <c r="C86" s="24" t="s">
        <v>1180</v>
      </c>
      <c r="D86" s="47" t="s">
        <v>281</v>
      </c>
      <c r="E86" s="49">
        <v>116640</v>
      </c>
      <c r="F86" s="50" t="s">
        <v>1227</v>
      </c>
    </row>
    <row r="87" s="1" customFormat="1" ht="15" spans="1:6">
      <c r="A87" s="45">
        <v>46308</v>
      </c>
      <c r="B87" s="46" t="s">
        <v>1065</v>
      </c>
      <c r="C87" s="24" t="s">
        <v>1170</v>
      </c>
      <c r="D87" s="47" t="s">
        <v>281</v>
      </c>
      <c r="E87" s="49">
        <v>25987.5</v>
      </c>
      <c r="F87" s="50" t="s">
        <v>1200</v>
      </c>
    </row>
    <row r="88" s="1" customFormat="1" ht="15" spans="1:6">
      <c r="A88" s="45">
        <v>46308</v>
      </c>
      <c r="B88" s="46" t="s">
        <v>1096</v>
      </c>
      <c r="C88" s="24" t="s">
        <v>1181</v>
      </c>
      <c r="D88" s="47" t="s">
        <v>281</v>
      </c>
      <c r="E88" s="49">
        <v>51840</v>
      </c>
      <c r="F88" s="50" t="s">
        <v>1199</v>
      </c>
    </row>
    <row r="89" s="1" customFormat="1" ht="15" spans="1:6">
      <c r="A89" s="45">
        <v>46309</v>
      </c>
      <c r="B89" s="46" t="s">
        <v>1152</v>
      </c>
      <c r="C89" s="24" t="s">
        <v>1169</v>
      </c>
      <c r="D89" s="47" t="s">
        <v>281</v>
      </c>
      <c r="E89" s="49">
        <v>25987.5</v>
      </c>
      <c r="F89" s="50" t="s">
        <v>1200</v>
      </c>
    </row>
    <row r="90" s="1" customFormat="1" ht="15" spans="1:6">
      <c r="A90" s="45">
        <v>46309</v>
      </c>
      <c r="B90" s="46" t="s">
        <v>1143</v>
      </c>
      <c r="C90" s="24" t="s">
        <v>1183</v>
      </c>
      <c r="D90" s="47" t="s">
        <v>281</v>
      </c>
      <c r="E90" s="49">
        <v>1288050</v>
      </c>
      <c r="F90" s="50" t="s">
        <v>1199</v>
      </c>
    </row>
    <row r="91" s="1" customFormat="1" ht="15" spans="1:6">
      <c r="A91" s="54">
        <v>46317</v>
      </c>
      <c r="B91" s="55" t="s">
        <v>1096</v>
      </c>
      <c r="C91" s="56" t="s">
        <v>1180</v>
      </c>
      <c r="D91" s="57" t="s">
        <v>281</v>
      </c>
      <c r="E91" s="58">
        <f>54*长科!H97</f>
        <v>77760</v>
      </c>
      <c r="F91" s="59" t="s">
        <v>1228</v>
      </c>
    </row>
    <row r="92" s="1" customFormat="1" ht="15" spans="1:6">
      <c r="A92" s="54">
        <v>46317</v>
      </c>
      <c r="B92" s="55" t="s">
        <v>1096</v>
      </c>
      <c r="C92" s="56" t="s">
        <v>1101</v>
      </c>
      <c r="D92" s="57" t="s">
        <v>281</v>
      </c>
      <c r="E92" s="58">
        <f>27*长科!H26*0.9</f>
        <v>37300.5</v>
      </c>
      <c r="F92" s="59" t="s">
        <v>1217</v>
      </c>
    </row>
    <row r="93" s="1" customFormat="1" ht="15" spans="1:6">
      <c r="A93" s="54">
        <v>46317</v>
      </c>
      <c r="B93" s="55" t="s">
        <v>1096</v>
      </c>
      <c r="C93" s="56" t="s">
        <v>1184</v>
      </c>
      <c r="D93" s="57" t="s">
        <v>281</v>
      </c>
      <c r="E93" s="58">
        <v>32016</v>
      </c>
      <c r="F93" s="59" t="s">
        <v>1199</v>
      </c>
    </row>
  </sheetData>
  <autoFilter xmlns:etc="http://www.wps.cn/officeDocument/2017/etCustomData" ref="A1:F93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8"/>
  <sheetViews>
    <sheetView zoomScale="85" zoomScaleNormal="85" topLeftCell="A324" workbookViewId="0">
      <selection activeCell="E336" sqref="E336:E338"/>
    </sheetView>
  </sheetViews>
  <sheetFormatPr defaultColWidth="9.02654867256637" defaultRowHeight="13.5"/>
  <cols>
    <col min="1" max="1" width="10.0265486725664" customWidth="1"/>
    <col min="2" max="2" width="20.1150442477876" customWidth="1"/>
    <col min="3" max="3" width="25.070796460177" customWidth="1"/>
    <col min="4" max="4" width="11.6902654867257" customWidth="1"/>
    <col min="5" max="5" width="6.91150442477876" style="4" customWidth="1"/>
    <col min="6" max="6" width="16.7345132743363" customWidth="1"/>
    <col min="7" max="7" width="12.5132743362832" customWidth="1"/>
    <col min="8" max="8" width="11.0884955752212" customWidth="1"/>
    <col min="9" max="9" width="10.6902654867257" customWidth="1"/>
    <col min="10" max="10" width="8.6283185840708" customWidth="1"/>
    <col min="11" max="11" width="26.4070796460177" customWidth="1"/>
  </cols>
  <sheetData>
    <row r="1" customHeight="1" spans="1:11">
      <c r="A1" s="5" t="s">
        <v>407</v>
      </c>
      <c r="B1" s="5" t="s">
        <v>279</v>
      </c>
      <c r="C1" s="5" t="s">
        <v>4</v>
      </c>
      <c r="D1" s="5" t="s">
        <v>408</v>
      </c>
      <c r="E1" s="5" t="s">
        <v>409</v>
      </c>
      <c r="F1" s="5" t="s">
        <v>18</v>
      </c>
      <c r="G1" s="5" t="s">
        <v>410</v>
      </c>
      <c r="H1" s="5" t="s">
        <v>411</v>
      </c>
      <c r="I1" s="5" t="s">
        <v>412</v>
      </c>
      <c r="J1" s="5" t="s">
        <v>413</v>
      </c>
      <c r="K1" s="5" t="s">
        <v>414</v>
      </c>
    </row>
    <row r="2" s="1" customFormat="1" ht="15" customHeight="1" spans="1:11">
      <c r="A2" s="6">
        <v>46039</v>
      </c>
      <c r="B2" s="7" t="s">
        <v>1073</v>
      </c>
      <c r="C2" s="7" t="s">
        <v>1074</v>
      </c>
      <c r="D2" s="7" t="s">
        <v>1067</v>
      </c>
      <c r="E2" s="8">
        <v>27.5</v>
      </c>
      <c r="F2" s="7" t="s">
        <v>42</v>
      </c>
      <c r="G2" s="9" t="s">
        <v>431</v>
      </c>
      <c r="H2" s="7"/>
      <c r="I2" s="7"/>
      <c r="J2" s="14" t="s">
        <v>1229</v>
      </c>
      <c r="K2" s="9" t="s">
        <v>1230</v>
      </c>
    </row>
    <row r="3" s="1" customFormat="1" ht="15" customHeight="1" spans="1:11">
      <c r="A3" s="6">
        <v>46043</v>
      </c>
      <c r="B3" s="7" t="s">
        <v>1231</v>
      </c>
      <c r="C3" s="7" t="s">
        <v>1076</v>
      </c>
      <c r="D3" s="7" t="s">
        <v>1079</v>
      </c>
      <c r="E3" s="8">
        <v>0.5</v>
      </c>
      <c r="F3" s="7" t="s">
        <v>1232</v>
      </c>
      <c r="G3" s="8" t="s">
        <v>936</v>
      </c>
      <c r="H3" s="7"/>
      <c r="I3" s="7"/>
      <c r="J3" s="14" t="s">
        <v>1233</v>
      </c>
      <c r="K3" s="8" t="s">
        <v>1230</v>
      </c>
    </row>
    <row r="4" s="1" customFormat="1" spans="1:11">
      <c r="A4" s="10">
        <v>46043</v>
      </c>
      <c r="B4" s="11" t="s">
        <v>1231</v>
      </c>
      <c r="C4" s="11" t="s">
        <v>1076</v>
      </c>
      <c r="D4" s="11" t="s">
        <v>1077</v>
      </c>
      <c r="E4" s="12">
        <v>0.5</v>
      </c>
      <c r="F4" s="11" t="s">
        <v>1232</v>
      </c>
      <c r="G4" s="12"/>
      <c r="H4" s="11"/>
      <c r="I4" s="11"/>
      <c r="J4" s="15"/>
      <c r="K4" s="12"/>
    </row>
    <row r="5" s="2" customFormat="1" ht="16" customHeight="1" spans="1:11">
      <c r="A5" s="13">
        <v>46051</v>
      </c>
      <c r="B5" s="2" t="s">
        <v>847</v>
      </c>
      <c r="C5" s="2" t="s">
        <v>1081</v>
      </c>
      <c r="D5" s="2" t="s">
        <v>1234</v>
      </c>
      <c r="E5" s="9">
        <v>27</v>
      </c>
      <c r="F5" s="2" t="s">
        <v>1235</v>
      </c>
      <c r="G5" s="9" t="s">
        <v>431</v>
      </c>
      <c r="J5" s="16" t="s">
        <v>1236</v>
      </c>
      <c r="K5" s="9" t="s">
        <v>1230</v>
      </c>
    </row>
    <row r="6" s="2" customFormat="1" ht="16" customHeight="1" spans="1:11">
      <c r="A6" s="13">
        <v>46053</v>
      </c>
      <c r="B6" s="2" t="s">
        <v>1068</v>
      </c>
      <c r="C6" s="2" t="s">
        <v>1069</v>
      </c>
      <c r="D6" s="2" t="s">
        <v>1062</v>
      </c>
      <c r="E6" s="9">
        <v>27.5</v>
      </c>
      <c r="F6" s="2" t="s">
        <v>42</v>
      </c>
      <c r="G6" s="9" t="s">
        <v>431</v>
      </c>
      <c r="J6" s="16" t="s">
        <v>1237</v>
      </c>
      <c r="K6" s="9" t="s">
        <v>1230</v>
      </c>
    </row>
    <row r="7" s="2" customFormat="1" ht="16" customHeight="1" spans="1:11">
      <c r="A7" s="13">
        <v>46053</v>
      </c>
      <c r="B7" s="2" t="s">
        <v>1068</v>
      </c>
      <c r="C7" s="2" t="s">
        <v>1069</v>
      </c>
      <c r="D7" s="2" t="s">
        <v>1062</v>
      </c>
      <c r="E7" s="9">
        <v>27.5</v>
      </c>
      <c r="F7" s="2" t="s">
        <v>42</v>
      </c>
      <c r="G7" s="9" t="s">
        <v>431</v>
      </c>
      <c r="J7" s="16" t="s">
        <v>1238</v>
      </c>
      <c r="K7" s="9" t="s">
        <v>1230</v>
      </c>
    </row>
    <row r="8" s="2" customFormat="1" ht="16" customHeight="1" spans="1:11">
      <c r="A8" s="13">
        <v>46057</v>
      </c>
      <c r="B8" s="2" t="s">
        <v>1070</v>
      </c>
      <c r="C8" s="2" t="s">
        <v>1071</v>
      </c>
      <c r="D8" s="2" t="s">
        <v>1062</v>
      </c>
      <c r="E8" s="9">
        <v>27.5</v>
      </c>
      <c r="F8" s="2" t="s">
        <v>42</v>
      </c>
      <c r="G8" s="9" t="s">
        <v>431</v>
      </c>
      <c r="H8" s="12">
        <v>265970201</v>
      </c>
      <c r="I8" s="17" t="s">
        <v>1239</v>
      </c>
      <c r="J8" s="16" t="s">
        <v>1240</v>
      </c>
      <c r="K8" s="9" t="s">
        <v>1230</v>
      </c>
    </row>
    <row r="9" s="2" customFormat="1" ht="16" customHeight="1" spans="1:11">
      <c r="A9" s="13">
        <v>46057</v>
      </c>
      <c r="B9" s="2" t="s">
        <v>1070</v>
      </c>
      <c r="C9" s="2" t="s">
        <v>1071</v>
      </c>
      <c r="D9" s="2" t="s">
        <v>1062</v>
      </c>
      <c r="E9" s="9">
        <v>27.5</v>
      </c>
      <c r="F9" s="2" t="s">
        <v>42</v>
      </c>
      <c r="G9" s="9" t="s">
        <v>431</v>
      </c>
      <c r="H9" s="7"/>
      <c r="I9" s="17" t="s">
        <v>1241</v>
      </c>
      <c r="J9" s="16" t="s">
        <v>1242</v>
      </c>
      <c r="K9" s="9" t="s">
        <v>1230</v>
      </c>
    </row>
    <row r="10" s="2" customFormat="1" ht="16" customHeight="1" spans="1:11">
      <c r="A10" s="13">
        <v>46091</v>
      </c>
      <c r="B10" s="2" t="s">
        <v>1083</v>
      </c>
      <c r="C10" s="2" t="s">
        <v>1084</v>
      </c>
      <c r="D10" s="2" t="s">
        <v>1064</v>
      </c>
      <c r="E10" s="9">
        <v>27.5</v>
      </c>
      <c r="F10" s="2" t="s">
        <v>42</v>
      </c>
      <c r="G10" s="9" t="s">
        <v>431</v>
      </c>
      <c r="H10" s="7"/>
      <c r="I10" s="17" t="s">
        <v>1243</v>
      </c>
      <c r="J10" s="16" t="s">
        <v>1244</v>
      </c>
      <c r="K10" s="9" t="s">
        <v>1245</v>
      </c>
    </row>
    <row r="11" s="2" customFormat="1" ht="16" customHeight="1" spans="1:11">
      <c r="A11" s="13">
        <v>46105</v>
      </c>
      <c r="B11" s="2" t="s">
        <v>842</v>
      </c>
      <c r="C11" s="2" t="s">
        <v>1085</v>
      </c>
      <c r="D11" s="2" t="s">
        <v>1077</v>
      </c>
      <c r="E11" s="9">
        <v>20</v>
      </c>
      <c r="F11" s="2" t="s">
        <v>1087</v>
      </c>
      <c r="G11" s="9"/>
      <c r="H11" s="7" t="s">
        <v>1246</v>
      </c>
      <c r="I11" s="17" t="s">
        <v>1247</v>
      </c>
      <c r="J11" s="16" t="s">
        <v>1248</v>
      </c>
      <c r="K11" s="9"/>
    </row>
    <row r="12" s="2" customFormat="1" ht="16" customHeight="1" spans="1:11">
      <c r="A12" s="13">
        <v>46105</v>
      </c>
      <c r="B12" s="2" t="s">
        <v>842</v>
      </c>
      <c r="C12" s="2" t="s">
        <v>1085</v>
      </c>
      <c r="D12" s="2" t="s">
        <v>1086</v>
      </c>
      <c r="E12" s="9">
        <v>20</v>
      </c>
      <c r="F12" s="2" t="s">
        <v>1087</v>
      </c>
      <c r="G12" s="9"/>
      <c r="H12" s="7" t="s">
        <v>1246</v>
      </c>
      <c r="I12" s="17" t="s">
        <v>1249</v>
      </c>
      <c r="J12" s="16" t="s">
        <v>1250</v>
      </c>
      <c r="K12" s="9"/>
    </row>
    <row r="13" s="2" customFormat="1" ht="16" customHeight="1" spans="1:11">
      <c r="A13" s="13">
        <v>46105</v>
      </c>
      <c r="B13" s="2" t="s">
        <v>842</v>
      </c>
      <c r="C13" s="2" t="s">
        <v>1085</v>
      </c>
      <c r="D13" s="2" t="s">
        <v>1086</v>
      </c>
      <c r="E13" s="9">
        <v>20</v>
      </c>
      <c r="F13" s="2" t="s">
        <v>1087</v>
      </c>
      <c r="G13" s="9"/>
      <c r="H13" s="7" t="s">
        <v>1246</v>
      </c>
      <c r="I13" s="17" t="s">
        <v>1251</v>
      </c>
      <c r="J13" s="16" t="s">
        <v>1252</v>
      </c>
      <c r="K13" s="9"/>
    </row>
    <row r="14" s="2" customFormat="1" ht="16" customHeight="1" spans="1:11">
      <c r="A14" s="13">
        <v>46105</v>
      </c>
      <c r="B14" s="2" t="s">
        <v>842</v>
      </c>
      <c r="C14" s="2" t="s">
        <v>1085</v>
      </c>
      <c r="D14" s="2" t="s">
        <v>1086</v>
      </c>
      <c r="E14" s="9">
        <v>20</v>
      </c>
      <c r="F14" s="2" t="s">
        <v>1087</v>
      </c>
      <c r="G14" s="9"/>
      <c r="H14" s="7" t="s">
        <v>1246</v>
      </c>
      <c r="I14" s="17" t="s">
        <v>1253</v>
      </c>
      <c r="J14" s="16" t="s">
        <v>1254</v>
      </c>
      <c r="K14" s="9"/>
    </row>
    <row r="15" s="2" customFormat="1" ht="16" customHeight="1" spans="1:11">
      <c r="A15" s="13">
        <v>46105</v>
      </c>
      <c r="B15" s="2" t="s">
        <v>842</v>
      </c>
      <c r="C15" s="2" t="s">
        <v>1085</v>
      </c>
      <c r="D15" s="2" t="s">
        <v>1086</v>
      </c>
      <c r="E15" s="9">
        <v>20</v>
      </c>
      <c r="F15" s="2" t="s">
        <v>1087</v>
      </c>
      <c r="G15" s="9"/>
      <c r="H15" s="7" t="s">
        <v>1246</v>
      </c>
      <c r="I15" s="17" t="s">
        <v>1255</v>
      </c>
      <c r="J15" s="16" t="s">
        <v>1256</v>
      </c>
      <c r="K15" s="9"/>
    </row>
    <row r="16" s="2" customFormat="1" ht="16" customHeight="1" spans="1:11">
      <c r="A16" s="13">
        <v>46105</v>
      </c>
      <c r="B16" s="2" t="s">
        <v>842</v>
      </c>
      <c r="C16" s="2" t="s">
        <v>1085</v>
      </c>
      <c r="D16" s="2" t="s">
        <v>1086</v>
      </c>
      <c r="E16" s="9">
        <v>20</v>
      </c>
      <c r="F16" s="2" t="s">
        <v>1087</v>
      </c>
      <c r="G16" s="9"/>
      <c r="H16" s="7" t="s">
        <v>1246</v>
      </c>
      <c r="I16" s="17" t="s">
        <v>1257</v>
      </c>
      <c r="J16" s="16" t="s">
        <v>1258</v>
      </c>
      <c r="K16" s="9"/>
    </row>
    <row r="17" s="2" customFormat="1" ht="16" customHeight="1" spans="1:11">
      <c r="A17" s="13">
        <v>46105</v>
      </c>
      <c r="B17" s="2" t="s">
        <v>842</v>
      </c>
      <c r="C17" s="2" t="s">
        <v>1085</v>
      </c>
      <c r="D17" s="2" t="s">
        <v>1086</v>
      </c>
      <c r="E17" s="9">
        <v>20</v>
      </c>
      <c r="F17" s="2" t="s">
        <v>1087</v>
      </c>
      <c r="G17" s="9"/>
      <c r="H17" s="7" t="s">
        <v>1246</v>
      </c>
      <c r="I17" s="17" t="s">
        <v>1259</v>
      </c>
      <c r="J17" s="16" t="s">
        <v>1252</v>
      </c>
      <c r="K17" s="9"/>
    </row>
    <row r="18" s="2" customFormat="1" ht="16" customHeight="1" spans="1:11">
      <c r="A18" s="13">
        <v>46105</v>
      </c>
      <c r="B18" s="2" t="s">
        <v>842</v>
      </c>
      <c r="C18" s="2" t="s">
        <v>1085</v>
      </c>
      <c r="D18" s="2" t="s">
        <v>1086</v>
      </c>
      <c r="E18" s="9">
        <v>20</v>
      </c>
      <c r="F18" s="2" t="s">
        <v>1087</v>
      </c>
      <c r="G18" s="9"/>
      <c r="H18" s="7" t="s">
        <v>1246</v>
      </c>
      <c r="I18" s="17" t="s">
        <v>1260</v>
      </c>
      <c r="J18" s="16" t="s">
        <v>1254</v>
      </c>
      <c r="K18" s="9"/>
    </row>
    <row r="19" s="2" customFormat="1" ht="16" customHeight="1" spans="1:11">
      <c r="A19" s="13">
        <v>46106</v>
      </c>
      <c r="B19" s="2" t="s">
        <v>842</v>
      </c>
      <c r="C19" s="2" t="s">
        <v>1085</v>
      </c>
      <c r="D19" s="2" t="s">
        <v>1086</v>
      </c>
      <c r="E19" s="9">
        <v>20</v>
      </c>
      <c r="F19" s="2" t="s">
        <v>1087</v>
      </c>
      <c r="G19" s="9"/>
      <c r="H19" s="7" t="s">
        <v>1246</v>
      </c>
      <c r="I19" s="17" t="s">
        <v>1261</v>
      </c>
      <c r="J19" s="16" t="s">
        <v>1262</v>
      </c>
      <c r="K19" s="9"/>
    </row>
    <row r="20" s="2" customFormat="1" ht="16" customHeight="1" spans="1:11">
      <c r="A20" s="13">
        <v>46106</v>
      </c>
      <c r="B20" s="2" t="s">
        <v>842</v>
      </c>
      <c r="C20" s="2" t="s">
        <v>1085</v>
      </c>
      <c r="D20" s="2" t="s">
        <v>1086</v>
      </c>
      <c r="E20" s="9">
        <v>20</v>
      </c>
      <c r="F20" s="2" t="s">
        <v>1087</v>
      </c>
      <c r="G20" s="9"/>
      <c r="H20" s="7" t="s">
        <v>1246</v>
      </c>
      <c r="I20" s="17" t="s">
        <v>1263</v>
      </c>
      <c r="J20" s="16" t="s">
        <v>1264</v>
      </c>
      <c r="K20" s="9"/>
    </row>
    <row r="21" s="2" customFormat="1" ht="16" customHeight="1" spans="1:11">
      <c r="A21" s="13">
        <v>46106</v>
      </c>
      <c r="B21" s="2" t="s">
        <v>842</v>
      </c>
      <c r="C21" s="2" t="s">
        <v>1085</v>
      </c>
      <c r="D21" s="2" t="s">
        <v>1086</v>
      </c>
      <c r="E21" s="9">
        <v>20</v>
      </c>
      <c r="F21" s="2" t="s">
        <v>1087</v>
      </c>
      <c r="G21" s="9"/>
      <c r="H21" s="7" t="s">
        <v>1246</v>
      </c>
      <c r="I21" s="17" t="s">
        <v>1265</v>
      </c>
      <c r="J21" s="16" t="s">
        <v>1266</v>
      </c>
      <c r="K21" s="9"/>
    </row>
    <row r="22" s="2" customFormat="1" ht="16" customHeight="1" spans="1:11">
      <c r="A22" s="13">
        <v>46106</v>
      </c>
      <c r="B22" s="2" t="s">
        <v>842</v>
      </c>
      <c r="C22" s="2" t="s">
        <v>1085</v>
      </c>
      <c r="D22" s="2" t="s">
        <v>1086</v>
      </c>
      <c r="E22" s="9">
        <v>20</v>
      </c>
      <c r="F22" s="2" t="s">
        <v>1087</v>
      </c>
      <c r="G22" s="9"/>
      <c r="H22" s="7" t="s">
        <v>1246</v>
      </c>
      <c r="I22" s="17" t="s">
        <v>1267</v>
      </c>
      <c r="J22" s="16" t="s">
        <v>1268</v>
      </c>
      <c r="K22" s="9"/>
    </row>
    <row r="23" s="2" customFormat="1" ht="16" customHeight="1" spans="1:11">
      <c r="A23" s="13">
        <v>46106</v>
      </c>
      <c r="B23" s="2" t="s">
        <v>842</v>
      </c>
      <c r="C23" s="2" t="s">
        <v>1085</v>
      </c>
      <c r="D23" s="2" t="s">
        <v>1086</v>
      </c>
      <c r="E23" s="9">
        <v>20</v>
      </c>
      <c r="F23" s="2" t="s">
        <v>1087</v>
      </c>
      <c r="G23" s="9"/>
      <c r="H23" s="7" t="s">
        <v>1246</v>
      </c>
      <c r="I23" s="17" t="s">
        <v>1269</v>
      </c>
      <c r="J23" s="16" t="s">
        <v>1250</v>
      </c>
      <c r="K23" s="9"/>
    </row>
    <row r="24" s="2" customFormat="1" ht="16" customHeight="1" spans="1:11">
      <c r="A24" s="13">
        <v>46106</v>
      </c>
      <c r="B24" s="2" t="s">
        <v>842</v>
      </c>
      <c r="C24" s="2" t="s">
        <v>1085</v>
      </c>
      <c r="D24" s="2" t="s">
        <v>1086</v>
      </c>
      <c r="E24" s="9">
        <v>20</v>
      </c>
      <c r="F24" s="2" t="s">
        <v>1087</v>
      </c>
      <c r="G24" s="9"/>
      <c r="H24" s="7" t="s">
        <v>1246</v>
      </c>
      <c r="I24" s="17" t="s">
        <v>1270</v>
      </c>
      <c r="J24" s="16" t="s">
        <v>1262</v>
      </c>
      <c r="K24" s="9"/>
    </row>
    <row r="25" s="2" customFormat="1" ht="16" customHeight="1" spans="1:11">
      <c r="A25" s="13">
        <v>46106</v>
      </c>
      <c r="B25" s="2" t="s">
        <v>842</v>
      </c>
      <c r="C25" s="2" t="s">
        <v>1085</v>
      </c>
      <c r="D25" s="2" t="s">
        <v>1086</v>
      </c>
      <c r="E25" s="9">
        <v>20</v>
      </c>
      <c r="F25" s="2" t="s">
        <v>1087</v>
      </c>
      <c r="G25" s="9"/>
      <c r="H25" s="7" t="s">
        <v>1246</v>
      </c>
      <c r="I25" s="17" t="s">
        <v>1271</v>
      </c>
      <c r="J25" s="16" t="s">
        <v>1266</v>
      </c>
      <c r="K25" s="9"/>
    </row>
    <row r="26" s="2" customFormat="1" ht="16" customHeight="1" spans="1:11">
      <c r="A26" s="13">
        <v>46109</v>
      </c>
      <c r="B26" s="2" t="s">
        <v>1272</v>
      </c>
      <c r="C26" s="2" t="s">
        <v>1092</v>
      </c>
      <c r="D26" s="2" t="s">
        <v>1234</v>
      </c>
      <c r="E26" s="9">
        <v>15</v>
      </c>
      <c r="F26" s="2" t="s">
        <v>1082</v>
      </c>
      <c r="G26" s="9"/>
      <c r="H26" s="7"/>
      <c r="I26" s="17"/>
      <c r="J26" s="16" t="s">
        <v>1273</v>
      </c>
      <c r="K26" s="9" t="s">
        <v>1230</v>
      </c>
    </row>
    <row r="27" s="2" customFormat="1" ht="16" customHeight="1" spans="1:11">
      <c r="A27" s="13">
        <v>46112</v>
      </c>
      <c r="B27" s="2" t="s">
        <v>1094</v>
      </c>
      <c r="C27" s="2" t="s">
        <v>1095</v>
      </c>
      <c r="D27" s="2" t="s">
        <v>1059</v>
      </c>
      <c r="E27" s="9">
        <v>27.5</v>
      </c>
      <c r="F27" s="2" t="s">
        <v>1060</v>
      </c>
      <c r="G27" s="9"/>
      <c r="H27" s="7" t="s">
        <v>1274</v>
      </c>
      <c r="I27" s="17" t="s">
        <v>1275</v>
      </c>
      <c r="J27" s="16" t="s">
        <v>1276</v>
      </c>
      <c r="K27" s="9" t="s">
        <v>1230</v>
      </c>
    </row>
    <row r="28" s="2" customFormat="1" ht="16" customHeight="1" spans="1:11">
      <c r="A28" s="13">
        <v>46112</v>
      </c>
      <c r="B28" s="2" t="s">
        <v>1094</v>
      </c>
      <c r="C28" s="2" t="s">
        <v>1095</v>
      </c>
      <c r="D28" s="2" t="s">
        <v>1059</v>
      </c>
      <c r="E28" s="9">
        <v>27.5</v>
      </c>
      <c r="F28" s="2" t="s">
        <v>1060</v>
      </c>
      <c r="G28" s="9"/>
      <c r="H28" s="7" t="s">
        <v>1277</v>
      </c>
      <c r="I28" s="17" t="s">
        <v>1278</v>
      </c>
      <c r="J28" s="16" t="s">
        <v>1279</v>
      </c>
      <c r="K28" s="9" t="s">
        <v>1230</v>
      </c>
    </row>
    <row r="29" s="2" customFormat="1" ht="16" customHeight="1" spans="1:11">
      <c r="A29" s="13">
        <v>46112</v>
      </c>
      <c r="B29" s="2" t="s">
        <v>1094</v>
      </c>
      <c r="C29" s="2" t="s">
        <v>1095</v>
      </c>
      <c r="D29" s="2" t="s">
        <v>1059</v>
      </c>
      <c r="E29" s="9">
        <v>27.5</v>
      </c>
      <c r="F29" s="2" t="s">
        <v>1060</v>
      </c>
      <c r="G29" s="9"/>
      <c r="H29" s="7" t="s">
        <v>1280</v>
      </c>
      <c r="I29" s="17" t="s">
        <v>1281</v>
      </c>
      <c r="J29" s="16" t="s">
        <v>1282</v>
      </c>
      <c r="K29" s="9" t="s">
        <v>1230</v>
      </c>
    </row>
    <row r="30" s="2" customFormat="1" ht="16" customHeight="1" spans="1:11">
      <c r="A30" s="13">
        <v>46112</v>
      </c>
      <c r="B30" s="2" t="s">
        <v>1096</v>
      </c>
      <c r="C30" s="2" t="s">
        <v>1097</v>
      </c>
      <c r="D30" s="2" t="s">
        <v>1067</v>
      </c>
      <c r="E30" s="9">
        <v>27</v>
      </c>
      <c r="F30" s="2" t="s">
        <v>1060</v>
      </c>
      <c r="G30" s="9"/>
      <c r="H30" s="7" t="s">
        <v>1283</v>
      </c>
      <c r="I30" s="17" t="s">
        <v>1284</v>
      </c>
      <c r="J30" s="16" t="s">
        <v>1285</v>
      </c>
      <c r="K30" s="9" t="s">
        <v>1230</v>
      </c>
    </row>
    <row r="31" s="2" customFormat="1" ht="16" customHeight="1" spans="1:11">
      <c r="A31" s="13">
        <v>46112</v>
      </c>
      <c r="B31" s="2" t="s">
        <v>1096</v>
      </c>
      <c r="C31" s="2" t="s">
        <v>1097</v>
      </c>
      <c r="D31" s="2" t="s">
        <v>1067</v>
      </c>
      <c r="E31" s="9">
        <v>27</v>
      </c>
      <c r="F31" s="2" t="s">
        <v>1060</v>
      </c>
      <c r="G31" s="9"/>
      <c r="H31" s="7" t="s">
        <v>1283</v>
      </c>
      <c r="I31" s="17" t="s">
        <v>1286</v>
      </c>
      <c r="J31" s="16" t="s">
        <v>1287</v>
      </c>
      <c r="K31" s="9" t="s">
        <v>1230</v>
      </c>
    </row>
    <row r="32" s="2" customFormat="1" ht="16" customHeight="1" spans="1:11">
      <c r="A32" s="13">
        <v>46112</v>
      </c>
      <c r="B32" s="2" t="s">
        <v>842</v>
      </c>
      <c r="C32" s="2" t="s">
        <v>1085</v>
      </c>
      <c r="D32" s="2" t="s">
        <v>1086</v>
      </c>
      <c r="E32" s="9">
        <v>20</v>
      </c>
      <c r="F32" s="2" t="s">
        <v>1087</v>
      </c>
      <c r="G32" s="9"/>
      <c r="H32" s="7" t="s">
        <v>1288</v>
      </c>
      <c r="I32" s="17" t="s">
        <v>1289</v>
      </c>
      <c r="J32" s="16" t="s">
        <v>1290</v>
      </c>
      <c r="K32" s="9"/>
    </row>
    <row r="33" s="2" customFormat="1" ht="16" customHeight="1" spans="1:11">
      <c r="A33" s="13">
        <v>46112</v>
      </c>
      <c r="B33" s="2" t="s">
        <v>842</v>
      </c>
      <c r="C33" s="2" t="s">
        <v>1085</v>
      </c>
      <c r="D33" s="2" t="s">
        <v>1086</v>
      </c>
      <c r="E33" s="9">
        <v>20</v>
      </c>
      <c r="F33" s="2" t="s">
        <v>1087</v>
      </c>
      <c r="G33" s="9"/>
      <c r="H33" s="7" t="s">
        <v>1288</v>
      </c>
      <c r="I33" s="17" t="s">
        <v>1291</v>
      </c>
      <c r="J33" s="16" t="s">
        <v>1292</v>
      </c>
      <c r="K33" s="9"/>
    </row>
    <row r="34" s="2" customFormat="1" ht="16" customHeight="1" spans="1:11">
      <c r="A34" s="13">
        <v>46112</v>
      </c>
      <c r="B34" s="2" t="s">
        <v>842</v>
      </c>
      <c r="C34" s="2" t="s">
        <v>1085</v>
      </c>
      <c r="D34" s="2" t="s">
        <v>1086</v>
      </c>
      <c r="E34" s="9">
        <v>20</v>
      </c>
      <c r="F34" s="2" t="s">
        <v>1087</v>
      </c>
      <c r="G34" s="9"/>
      <c r="H34" s="7" t="s">
        <v>1288</v>
      </c>
      <c r="I34" s="17" t="s">
        <v>1293</v>
      </c>
      <c r="J34" s="16" t="s">
        <v>1294</v>
      </c>
      <c r="K34" s="9"/>
    </row>
    <row r="35" s="2" customFormat="1" ht="16" customHeight="1" spans="1:11">
      <c r="A35" s="13">
        <v>46112</v>
      </c>
      <c r="B35" s="2" t="s">
        <v>842</v>
      </c>
      <c r="C35" s="2" t="s">
        <v>1085</v>
      </c>
      <c r="D35" s="2" t="s">
        <v>1086</v>
      </c>
      <c r="E35" s="9">
        <v>20</v>
      </c>
      <c r="F35" s="2" t="s">
        <v>1087</v>
      </c>
      <c r="G35" s="9"/>
      <c r="H35" s="7" t="s">
        <v>1288</v>
      </c>
      <c r="I35" s="17" t="s">
        <v>1295</v>
      </c>
      <c r="J35" s="16" t="s">
        <v>1296</v>
      </c>
      <c r="K35" s="9"/>
    </row>
    <row r="36" s="2" customFormat="1" ht="16" customHeight="1" spans="1:11">
      <c r="A36" s="13">
        <v>46112</v>
      </c>
      <c r="B36" s="2" t="s">
        <v>842</v>
      </c>
      <c r="C36" s="2" t="s">
        <v>1085</v>
      </c>
      <c r="D36" s="2" t="s">
        <v>1086</v>
      </c>
      <c r="E36" s="9">
        <v>20</v>
      </c>
      <c r="F36" s="2" t="s">
        <v>1087</v>
      </c>
      <c r="G36" s="9"/>
      <c r="H36" s="7" t="s">
        <v>1288</v>
      </c>
      <c r="I36" s="17" t="s">
        <v>1297</v>
      </c>
      <c r="J36" s="16" t="s">
        <v>1298</v>
      </c>
      <c r="K36" s="9"/>
    </row>
    <row r="37" s="2" customFormat="1" ht="16" customHeight="1" spans="1:11">
      <c r="A37" s="13">
        <v>46112</v>
      </c>
      <c r="B37" s="2" t="s">
        <v>842</v>
      </c>
      <c r="C37" s="2" t="s">
        <v>1085</v>
      </c>
      <c r="D37" s="2" t="s">
        <v>1086</v>
      </c>
      <c r="E37" s="9">
        <v>20</v>
      </c>
      <c r="F37" s="2" t="s">
        <v>1087</v>
      </c>
      <c r="G37" s="9"/>
      <c r="H37" s="7" t="s">
        <v>1288</v>
      </c>
      <c r="I37" s="17" t="s">
        <v>1299</v>
      </c>
      <c r="J37" s="16" t="s">
        <v>1300</v>
      </c>
      <c r="K37" s="9"/>
    </row>
    <row r="38" s="2" customFormat="1" ht="16" customHeight="1" spans="1:11">
      <c r="A38" s="13">
        <v>46112</v>
      </c>
      <c r="B38" s="2" t="s">
        <v>842</v>
      </c>
      <c r="C38" s="2" t="s">
        <v>1085</v>
      </c>
      <c r="D38" s="2" t="s">
        <v>1086</v>
      </c>
      <c r="E38" s="9">
        <v>20</v>
      </c>
      <c r="F38" s="2" t="s">
        <v>1087</v>
      </c>
      <c r="G38" s="9"/>
      <c r="H38" s="7"/>
      <c r="I38" s="17"/>
      <c r="J38" s="16" t="s">
        <v>1264</v>
      </c>
      <c r="K38" s="9"/>
    </row>
    <row r="39" s="2" customFormat="1" ht="16" customHeight="1" spans="1:11">
      <c r="A39" s="13">
        <v>46112</v>
      </c>
      <c r="B39" s="2" t="s">
        <v>842</v>
      </c>
      <c r="C39" s="2" t="s">
        <v>1085</v>
      </c>
      <c r="D39" s="2" t="s">
        <v>1086</v>
      </c>
      <c r="E39" s="9">
        <v>20</v>
      </c>
      <c r="F39" s="2" t="s">
        <v>1087</v>
      </c>
      <c r="G39" s="9"/>
      <c r="H39" s="7"/>
      <c r="I39" s="17"/>
      <c r="J39" s="16" t="s">
        <v>1301</v>
      </c>
      <c r="K39" s="9"/>
    </row>
    <row r="40" s="2" customFormat="1" ht="16" customHeight="1" spans="1:11">
      <c r="A40" s="13">
        <v>46113</v>
      </c>
      <c r="B40" s="2" t="s">
        <v>842</v>
      </c>
      <c r="C40" s="2" t="s">
        <v>1085</v>
      </c>
      <c r="D40" s="2" t="s">
        <v>1086</v>
      </c>
      <c r="E40" s="9">
        <v>20</v>
      </c>
      <c r="F40" s="2" t="s">
        <v>1087</v>
      </c>
      <c r="G40" s="9"/>
      <c r="H40" s="7" t="s">
        <v>1288</v>
      </c>
      <c r="I40" s="17" t="s">
        <v>1302</v>
      </c>
      <c r="J40" s="16" t="s">
        <v>1303</v>
      </c>
      <c r="K40" s="9"/>
    </row>
    <row r="41" s="2" customFormat="1" ht="16" customHeight="1" spans="1:11">
      <c r="A41" s="13">
        <v>46113</v>
      </c>
      <c r="B41" s="2" t="s">
        <v>842</v>
      </c>
      <c r="C41" s="2" t="s">
        <v>1085</v>
      </c>
      <c r="D41" s="2" t="s">
        <v>1086</v>
      </c>
      <c r="E41" s="9">
        <v>20</v>
      </c>
      <c r="F41" s="2" t="s">
        <v>1087</v>
      </c>
      <c r="G41" s="9"/>
      <c r="H41" s="7" t="s">
        <v>1304</v>
      </c>
      <c r="I41" s="17" t="s">
        <v>1305</v>
      </c>
      <c r="J41" s="16" t="s">
        <v>1298</v>
      </c>
      <c r="K41" s="9"/>
    </row>
    <row r="42" s="2" customFormat="1" ht="16" customHeight="1" spans="1:11">
      <c r="A42" s="13">
        <v>46113</v>
      </c>
      <c r="B42" s="2" t="s">
        <v>842</v>
      </c>
      <c r="C42" s="2" t="s">
        <v>1085</v>
      </c>
      <c r="D42" s="2" t="s">
        <v>1086</v>
      </c>
      <c r="E42" s="9">
        <v>20</v>
      </c>
      <c r="F42" s="2" t="s">
        <v>1087</v>
      </c>
      <c r="G42" s="9"/>
      <c r="H42" s="7" t="s">
        <v>1288</v>
      </c>
      <c r="I42" s="16" t="s">
        <v>1306</v>
      </c>
      <c r="J42" s="17" t="s">
        <v>1307</v>
      </c>
      <c r="K42" s="9"/>
    </row>
    <row r="43" s="2" customFormat="1" ht="16" customHeight="1" spans="1:11">
      <c r="A43" s="13">
        <v>46113</v>
      </c>
      <c r="B43" s="2" t="s">
        <v>842</v>
      </c>
      <c r="C43" s="2" t="s">
        <v>1085</v>
      </c>
      <c r="D43" s="2" t="s">
        <v>1086</v>
      </c>
      <c r="E43" s="9">
        <v>20</v>
      </c>
      <c r="F43" s="2" t="s">
        <v>1087</v>
      </c>
      <c r="G43" s="9"/>
      <c r="H43" s="7" t="s">
        <v>1304</v>
      </c>
      <c r="I43" s="17" t="s">
        <v>1308</v>
      </c>
      <c r="J43" s="16" t="s">
        <v>1309</v>
      </c>
      <c r="K43" s="9"/>
    </row>
    <row r="44" s="2" customFormat="1" ht="16" customHeight="1" spans="1:11">
      <c r="A44" s="13">
        <v>46113</v>
      </c>
      <c r="B44" s="2" t="s">
        <v>842</v>
      </c>
      <c r="C44" s="2" t="s">
        <v>1085</v>
      </c>
      <c r="D44" s="2" t="s">
        <v>1086</v>
      </c>
      <c r="E44" s="9">
        <v>20</v>
      </c>
      <c r="F44" s="2" t="s">
        <v>1087</v>
      </c>
      <c r="G44" s="9"/>
      <c r="H44" s="7" t="s">
        <v>1304</v>
      </c>
      <c r="I44" s="17" t="s">
        <v>1310</v>
      </c>
      <c r="J44" s="16" t="s">
        <v>1298</v>
      </c>
      <c r="K44" s="9"/>
    </row>
    <row r="45" s="2" customFormat="1" ht="16" customHeight="1" spans="1:11">
      <c r="A45" s="13">
        <v>46113</v>
      </c>
      <c r="B45" s="2" t="s">
        <v>842</v>
      </c>
      <c r="C45" s="2" t="s">
        <v>1085</v>
      </c>
      <c r="D45" s="2" t="s">
        <v>1086</v>
      </c>
      <c r="E45" s="9">
        <v>20</v>
      </c>
      <c r="F45" s="2" t="s">
        <v>1087</v>
      </c>
      <c r="G45" s="9"/>
      <c r="H45" s="7" t="s">
        <v>1304</v>
      </c>
      <c r="I45" s="17" t="s">
        <v>1311</v>
      </c>
      <c r="J45" s="16" t="s">
        <v>1312</v>
      </c>
      <c r="K45" s="9"/>
    </row>
    <row r="46" s="2" customFormat="1" ht="16" customHeight="1" spans="1:11">
      <c r="A46" s="13">
        <v>46113</v>
      </c>
      <c r="B46" s="2" t="s">
        <v>842</v>
      </c>
      <c r="C46" s="2" t="s">
        <v>1085</v>
      </c>
      <c r="D46" s="2" t="s">
        <v>1086</v>
      </c>
      <c r="E46" s="9">
        <v>20</v>
      </c>
      <c r="F46" s="2" t="s">
        <v>1087</v>
      </c>
      <c r="G46" s="9"/>
      <c r="H46" s="7" t="s">
        <v>1304</v>
      </c>
      <c r="I46" s="17" t="s">
        <v>1313</v>
      </c>
      <c r="J46" s="16" t="s">
        <v>1307</v>
      </c>
      <c r="K46" s="9"/>
    </row>
    <row r="47" s="2" customFormat="1" ht="16" customHeight="1" spans="1:11">
      <c r="A47" s="13">
        <v>46113</v>
      </c>
      <c r="B47" s="2" t="s">
        <v>842</v>
      </c>
      <c r="C47" s="2" t="s">
        <v>1085</v>
      </c>
      <c r="D47" s="2" t="s">
        <v>1086</v>
      </c>
      <c r="E47" s="9">
        <v>20</v>
      </c>
      <c r="F47" s="2" t="s">
        <v>1087</v>
      </c>
      <c r="G47" s="9"/>
      <c r="H47" s="2" t="s">
        <v>1304</v>
      </c>
      <c r="I47" s="18" t="s">
        <v>1314</v>
      </c>
      <c r="J47" s="16" t="s">
        <v>1309</v>
      </c>
      <c r="K47" s="9"/>
    </row>
    <row r="48" s="2" customFormat="1" ht="16" customHeight="1" spans="1:11">
      <c r="A48" s="13">
        <v>46113</v>
      </c>
      <c r="B48" s="2" t="s">
        <v>1096</v>
      </c>
      <c r="C48" s="2" t="s">
        <v>1097</v>
      </c>
      <c r="D48" s="2" t="s">
        <v>1067</v>
      </c>
      <c r="E48" s="9">
        <v>27</v>
      </c>
      <c r="F48" s="2" t="s">
        <v>1060</v>
      </c>
      <c r="G48" s="9"/>
      <c r="I48" s="18" t="s">
        <v>1315</v>
      </c>
      <c r="J48" s="15" t="s">
        <v>1316</v>
      </c>
      <c r="K48" s="9"/>
    </row>
    <row r="49" s="2" customFormat="1" ht="16" customHeight="1" spans="1:11">
      <c r="A49" s="13">
        <v>46113</v>
      </c>
      <c r="B49" s="2" t="s">
        <v>1096</v>
      </c>
      <c r="C49" s="2" t="s">
        <v>1097</v>
      </c>
      <c r="D49" s="2" t="s">
        <v>1067</v>
      </c>
      <c r="E49" s="9">
        <v>27</v>
      </c>
      <c r="F49" s="2" t="s">
        <v>1060</v>
      </c>
      <c r="G49" s="9"/>
      <c r="I49" s="18" t="s">
        <v>1317</v>
      </c>
      <c r="J49" s="15" t="s">
        <v>1236</v>
      </c>
      <c r="K49" s="9"/>
    </row>
    <row r="50" s="2" customFormat="1" ht="16" customHeight="1" spans="1:11">
      <c r="A50" s="13">
        <v>46116</v>
      </c>
      <c r="B50" s="2" t="s">
        <v>839</v>
      </c>
      <c r="C50" s="2" t="s">
        <v>1088</v>
      </c>
      <c r="D50" s="2" t="s">
        <v>1089</v>
      </c>
      <c r="E50" s="9">
        <v>9.6</v>
      </c>
      <c r="F50" s="2" t="s">
        <v>841</v>
      </c>
      <c r="G50" s="9"/>
      <c r="I50" s="18"/>
      <c r="J50" s="15" t="s">
        <v>1318</v>
      </c>
      <c r="K50" s="9"/>
    </row>
    <row r="51" s="2" customFormat="1" ht="16" customHeight="1" spans="1:11">
      <c r="A51" s="13">
        <v>46116</v>
      </c>
      <c r="B51" s="2" t="s">
        <v>839</v>
      </c>
      <c r="C51" s="2" t="s">
        <v>1088</v>
      </c>
      <c r="D51" s="2" t="s">
        <v>1079</v>
      </c>
      <c r="E51" s="9">
        <v>2.2</v>
      </c>
      <c r="F51" s="2" t="s">
        <v>841</v>
      </c>
      <c r="G51" s="9"/>
      <c r="I51" s="18"/>
      <c r="J51" s="19"/>
      <c r="K51" s="9"/>
    </row>
    <row r="52" s="2" customFormat="1" ht="16" customHeight="1" spans="1:11">
      <c r="A52" s="13">
        <v>46116</v>
      </c>
      <c r="B52" s="2" t="s">
        <v>839</v>
      </c>
      <c r="C52" s="2" t="s">
        <v>1088</v>
      </c>
      <c r="D52" s="2" t="s">
        <v>1090</v>
      </c>
      <c r="E52" s="9">
        <v>4.4</v>
      </c>
      <c r="F52" s="2" t="s">
        <v>841</v>
      </c>
      <c r="G52" s="9"/>
      <c r="I52" s="18"/>
      <c r="J52" s="19"/>
      <c r="K52" s="9"/>
    </row>
    <row r="53" s="2" customFormat="1" ht="16" customHeight="1" spans="1:11">
      <c r="A53" s="13">
        <v>46116</v>
      </c>
      <c r="B53" s="2" t="s">
        <v>839</v>
      </c>
      <c r="C53" s="2" t="s">
        <v>1088</v>
      </c>
      <c r="D53" s="2" t="s">
        <v>1077</v>
      </c>
      <c r="E53" s="9">
        <v>2.2</v>
      </c>
      <c r="F53" s="2" t="s">
        <v>841</v>
      </c>
      <c r="G53" s="9"/>
      <c r="I53" s="18"/>
      <c r="J53" s="14"/>
      <c r="K53" s="9"/>
    </row>
    <row r="54" s="2" customFormat="1" ht="16" customHeight="1" spans="1:11">
      <c r="A54" s="13">
        <v>46120</v>
      </c>
      <c r="B54" s="2" t="s">
        <v>1094</v>
      </c>
      <c r="C54" s="2" t="s">
        <v>1095</v>
      </c>
      <c r="D54" s="2" t="s">
        <v>1059</v>
      </c>
      <c r="E54" s="9">
        <v>27.5</v>
      </c>
      <c r="F54" s="2" t="s">
        <v>1060</v>
      </c>
      <c r="G54" s="9"/>
      <c r="I54" s="18"/>
      <c r="J54" s="16" t="s">
        <v>1319</v>
      </c>
      <c r="K54" s="9"/>
    </row>
    <row r="55" s="2" customFormat="1" ht="16" customHeight="1" spans="1:11">
      <c r="A55" s="13">
        <v>46120</v>
      </c>
      <c r="B55" s="2" t="s">
        <v>1094</v>
      </c>
      <c r="C55" s="2" t="s">
        <v>1095</v>
      </c>
      <c r="D55" s="2" t="s">
        <v>1062</v>
      </c>
      <c r="E55" s="9">
        <v>27.5</v>
      </c>
      <c r="F55" s="2" t="s">
        <v>1060</v>
      </c>
      <c r="G55" s="9"/>
      <c r="I55" s="18"/>
      <c r="J55" s="16" t="s">
        <v>1320</v>
      </c>
      <c r="K55" s="9"/>
    </row>
    <row r="56" s="2" customFormat="1" ht="16" customHeight="1" spans="1:11">
      <c r="A56" s="13">
        <v>46120</v>
      </c>
      <c r="B56" s="2" t="s">
        <v>1094</v>
      </c>
      <c r="C56" s="2" t="s">
        <v>1095</v>
      </c>
      <c r="D56" s="2" t="s">
        <v>1062</v>
      </c>
      <c r="E56" s="9">
        <v>27.5</v>
      </c>
      <c r="F56" s="2" t="s">
        <v>1060</v>
      </c>
      <c r="G56" s="9"/>
      <c r="I56" s="18"/>
      <c r="J56" s="16" t="s">
        <v>1321</v>
      </c>
      <c r="K56" s="9"/>
    </row>
    <row r="57" s="2" customFormat="1" ht="16" customHeight="1" spans="1:11">
      <c r="A57" s="13">
        <v>46122</v>
      </c>
      <c r="B57" s="2" t="s">
        <v>1094</v>
      </c>
      <c r="C57" s="2" t="s">
        <v>1095</v>
      </c>
      <c r="D57" s="2" t="s">
        <v>1059</v>
      </c>
      <c r="E57" s="9">
        <v>27.5</v>
      </c>
      <c r="F57" s="2" t="s">
        <v>1060</v>
      </c>
      <c r="G57" s="9"/>
      <c r="I57" s="18"/>
      <c r="J57" s="16" t="s">
        <v>1322</v>
      </c>
      <c r="K57" s="9"/>
    </row>
    <row r="58" s="2" customFormat="1" ht="16" customHeight="1" spans="1:11">
      <c r="A58" s="13">
        <v>46125</v>
      </c>
      <c r="B58" s="2" t="s">
        <v>1096</v>
      </c>
      <c r="C58" s="2" t="s">
        <v>1097</v>
      </c>
      <c r="D58" s="2" t="s">
        <v>1067</v>
      </c>
      <c r="E58" s="9">
        <v>27</v>
      </c>
      <c r="F58" s="2" t="s">
        <v>1060</v>
      </c>
      <c r="G58" s="9"/>
      <c r="H58" s="2" t="s">
        <v>1323</v>
      </c>
      <c r="I58" s="18" t="s">
        <v>1324</v>
      </c>
      <c r="J58" s="16" t="s">
        <v>1325</v>
      </c>
      <c r="K58" s="9" t="s">
        <v>1230</v>
      </c>
    </row>
    <row r="59" s="2" customFormat="1" ht="16" customHeight="1" spans="1:11">
      <c r="A59" s="13">
        <v>46125</v>
      </c>
      <c r="B59" s="2" t="s">
        <v>1096</v>
      </c>
      <c r="C59" s="2" t="s">
        <v>1097</v>
      </c>
      <c r="D59" s="2" t="s">
        <v>1067</v>
      </c>
      <c r="E59" s="9">
        <v>27</v>
      </c>
      <c r="F59" s="2" t="s">
        <v>1060</v>
      </c>
      <c r="G59" s="9"/>
      <c r="H59" s="2" t="s">
        <v>1323</v>
      </c>
      <c r="I59" s="18" t="s">
        <v>1326</v>
      </c>
      <c r="J59" s="16" t="s">
        <v>1327</v>
      </c>
      <c r="K59" s="9" t="s">
        <v>1230</v>
      </c>
    </row>
    <row r="60" s="2" customFormat="1" ht="16" customHeight="1" spans="1:11">
      <c r="A60" s="13">
        <v>46125</v>
      </c>
      <c r="B60" s="2" t="s">
        <v>1073</v>
      </c>
      <c r="C60" s="2" t="s">
        <v>1102</v>
      </c>
      <c r="D60" s="2" t="s">
        <v>1067</v>
      </c>
      <c r="E60" s="9">
        <v>27.5</v>
      </c>
      <c r="F60" s="2" t="s">
        <v>1060</v>
      </c>
      <c r="G60" s="9"/>
      <c r="H60" s="2" t="s">
        <v>1328</v>
      </c>
      <c r="I60" s="18" t="s">
        <v>1329</v>
      </c>
      <c r="J60" s="16" t="s">
        <v>1330</v>
      </c>
      <c r="K60" s="9" t="s">
        <v>466</v>
      </c>
    </row>
    <row r="61" s="2" customFormat="1" ht="16" customHeight="1" spans="1:11">
      <c r="A61" s="13">
        <v>46126</v>
      </c>
      <c r="B61" s="2" t="s">
        <v>1331</v>
      </c>
      <c r="C61" s="2" t="s">
        <v>1099</v>
      </c>
      <c r="D61" s="2" t="s">
        <v>1064</v>
      </c>
      <c r="E61" s="9">
        <v>27</v>
      </c>
      <c r="G61" s="9"/>
      <c r="I61" s="18"/>
      <c r="J61" s="16" t="s">
        <v>1332</v>
      </c>
      <c r="K61" s="9"/>
    </row>
    <row r="62" s="2" customFormat="1" ht="16" customHeight="1" spans="1:11">
      <c r="A62" s="13">
        <v>46126</v>
      </c>
      <c r="B62" s="2" t="s">
        <v>1331</v>
      </c>
      <c r="C62" s="2" t="s">
        <v>1099</v>
      </c>
      <c r="D62" s="2" t="s">
        <v>1064</v>
      </c>
      <c r="E62" s="9">
        <v>27</v>
      </c>
      <c r="G62" s="9"/>
      <c r="I62" s="18"/>
      <c r="J62" s="16" t="s">
        <v>1333</v>
      </c>
      <c r="K62" s="9"/>
    </row>
    <row r="63" s="2" customFormat="1" ht="16" customHeight="1" spans="1:11">
      <c r="A63" s="13">
        <v>46139</v>
      </c>
      <c r="B63" s="2" t="s">
        <v>847</v>
      </c>
      <c r="C63" s="2" t="s">
        <v>1104</v>
      </c>
      <c r="D63" s="2" t="s">
        <v>1234</v>
      </c>
      <c r="E63" s="9">
        <v>27</v>
      </c>
      <c r="F63" s="2" t="s">
        <v>1235</v>
      </c>
      <c r="G63" s="9"/>
      <c r="I63" s="18"/>
      <c r="J63" s="16" t="s">
        <v>1334</v>
      </c>
      <c r="K63" s="9" t="s">
        <v>1230</v>
      </c>
    </row>
    <row r="64" s="2" customFormat="1" ht="16" customHeight="1" spans="1:11">
      <c r="A64" s="13">
        <v>46141</v>
      </c>
      <c r="B64" s="2" t="s">
        <v>1096</v>
      </c>
      <c r="C64" s="2" t="s">
        <v>1100</v>
      </c>
      <c r="D64" s="2" t="s">
        <v>1067</v>
      </c>
      <c r="E64" s="9">
        <v>27</v>
      </c>
      <c r="G64" s="9"/>
      <c r="I64" s="18"/>
      <c r="J64" s="16" t="s">
        <v>1236</v>
      </c>
      <c r="K64" s="9"/>
    </row>
    <row r="65" s="2" customFormat="1" ht="16" customHeight="1" spans="1:11">
      <c r="A65" s="13">
        <v>46147</v>
      </c>
      <c r="B65" s="2" t="s">
        <v>1096</v>
      </c>
      <c r="C65" s="2" t="s">
        <v>1097</v>
      </c>
      <c r="D65" s="2" t="s">
        <v>1067</v>
      </c>
      <c r="E65" s="9">
        <v>27</v>
      </c>
      <c r="G65" s="9"/>
      <c r="I65" s="18"/>
      <c r="J65" s="16" t="s">
        <v>1236</v>
      </c>
      <c r="K65" s="9"/>
    </row>
    <row r="66" s="2" customFormat="1" ht="16" customHeight="1" spans="1:11">
      <c r="A66" s="13">
        <v>46147</v>
      </c>
      <c r="B66" s="2" t="s">
        <v>1096</v>
      </c>
      <c r="C66" s="2" t="s">
        <v>1097</v>
      </c>
      <c r="D66" s="2" t="s">
        <v>1067</v>
      </c>
      <c r="E66" s="9">
        <v>27</v>
      </c>
      <c r="G66" s="9"/>
      <c r="I66" s="18"/>
      <c r="J66" s="16" t="s">
        <v>1335</v>
      </c>
      <c r="K66" s="9"/>
    </row>
    <row r="67" s="2" customFormat="1" ht="16" customHeight="1" spans="1:11">
      <c r="A67" s="13">
        <v>46147</v>
      </c>
      <c r="B67" s="2" t="s">
        <v>1096</v>
      </c>
      <c r="C67" s="2" t="s">
        <v>1097</v>
      </c>
      <c r="D67" s="2" t="s">
        <v>1067</v>
      </c>
      <c r="E67" s="9">
        <v>27</v>
      </c>
      <c r="G67" s="9"/>
      <c r="I67" s="18"/>
      <c r="J67" s="16" t="s">
        <v>1336</v>
      </c>
      <c r="K67" s="9"/>
    </row>
    <row r="68" s="2" customFormat="1" ht="16" customHeight="1" spans="1:11">
      <c r="A68" s="13">
        <v>46147</v>
      </c>
      <c r="B68" s="2" t="s">
        <v>1096</v>
      </c>
      <c r="C68" s="2" t="s">
        <v>1097</v>
      </c>
      <c r="D68" s="2" t="s">
        <v>1067</v>
      </c>
      <c r="E68" s="9">
        <v>27</v>
      </c>
      <c r="G68" s="9"/>
      <c r="I68" s="18"/>
      <c r="J68" s="16" t="s">
        <v>1337</v>
      </c>
      <c r="K68" s="9"/>
    </row>
    <row r="69" s="2" customFormat="1" ht="16" customHeight="1" spans="1:11">
      <c r="A69" s="13">
        <v>46153</v>
      </c>
      <c r="B69" s="2" t="s">
        <v>1096</v>
      </c>
      <c r="C69" s="2" t="s">
        <v>1100</v>
      </c>
      <c r="D69" s="2" t="s">
        <v>1067</v>
      </c>
      <c r="E69" s="9">
        <v>27</v>
      </c>
      <c r="G69" s="9"/>
      <c r="I69" s="18"/>
      <c r="J69" s="16" t="s">
        <v>1338</v>
      </c>
      <c r="K69" s="9"/>
    </row>
    <row r="70" s="2" customFormat="1" ht="16" customHeight="1" spans="1:11">
      <c r="A70" s="13">
        <v>46153</v>
      </c>
      <c r="B70" s="2" t="s">
        <v>1096</v>
      </c>
      <c r="C70" s="2" t="s">
        <v>1100</v>
      </c>
      <c r="D70" s="2" t="s">
        <v>1067</v>
      </c>
      <c r="E70" s="9">
        <v>27</v>
      </c>
      <c r="G70" s="9"/>
      <c r="I70" s="18"/>
      <c r="J70" s="16" t="s">
        <v>1336</v>
      </c>
      <c r="K70" s="9"/>
    </row>
    <row r="71" s="2" customFormat="1" ht="16" customHeight="1" spans="1:11">
      <c r="A71" s="13">
        <v>46156</v>
      </c>
      <c r="B71" s="2" t="s">
        <v>1111</v>
      </c>
      <c r="C71" s="2" t="s">
        <v>1112</v>
      </c>
      <c r="D71" s="2" t="s">
        <v>1067</v>
      </c>
      <c r="E71" s="9">
        <v>27.5</v>
      </c>
      <c r="G71" s="9"/>
      <c r="I71" s="18"/>
      <c r="J71" s="16" t="s">
        <v>1339</v>
      </c>
      <c r="K71" s="9"/>
    </row>
    <row r="72" s="2" customFormat="1" ht="16" customHeight="1" spans="1:11">
      <c r="A72" s="13">
        <v>46156</v>
      </c>
      <c r="B72" s="2" t="s">
        <v>1106</v>
      </c>
      <c r="C72" s="2" t="s">
        <v>1107</v>
      </c>
      <c r="D72" s="2" t="s">
        <v>1067</v>
      </c>
      <c r="E72" s="9">
        <v>27.5</v>
      </c>
      <c r="G72" s="9"/>
      <c r="I72" s="18"/>
      <c r="J72" s="16" t="s">
        <v>1340</v>
      </c>
      <c r="K72" s="9"/>
    </row>
    <row r="73" s="2" customFormat="1" ht="16" customHeight="1" spans="1:11">
      <c r="A73" s="13">
        <v>46158</v>
      </c>
      <c r="B73" s="2" t="s">
        <v>1106</v>
      </c>
      <c r="C73" s="2" t="s">
        <v>1107</v>
      </c>
      <c r="D73" s="2" t="s">
        <v>1067</v>
      </c>
      <c r="E73" s="9">
        <v>27.5</v>
      </c>
      <c r="G73" s="9"/>
      <c r="I73" s="18"/>
      <c r="J73" s="16" t="s">
        <v>1341</v>
      </c>
      <c r="K73" s="9"/>
    </row>
    <row r="74" s="3" customFormat="1" ht="16" customHeight="1" spans="1:11">
      <c r="A74" s="20">
        <v>46158</v>
      </c>
      <c r="B74" s="3" t="s">
        <v>1096</v>
      </c>
      <c r="C74" s="3" t="s">
        <v>1101</v>
      </c>
      <c r="D74" s="3" t="s">
        <v>1067</v>
      </c>
      <c r="E74" s="21">
        <v>27</v>
      </c>
      <c r="G74" s="21"/>
      <c r="I74" s="26"/>
      <c r="J74" s="27" t="s">
        <v>1342</v>
      </c>
      <c r="K74" s="21"/>
    </row>
    <row r="75" s="3" customFormat="1" ht="16" customHeight="1" spans="1:11">
      <c r="A75" s="20">
        <v>46158</v>
      </c>
      <c r="B75" s="3" t="s">
        <v>1331</v>
      </c>
      <c r="C75" s="3" t="s">
        <v>1103</v>
      </c>
      <c r="D75" s="2" t="s">
        <v>1064</v>
      </c>
      <c r="E75" s="9">
        <v>27</v>
      </c>
      <c r="G75" s="21"/>
      <c r="I75" s="26"/>
      <c r="J75" s="27" t="s">
        <v>1343</v>
      </c>
      <c r="K75" s="21"/>
    </row>
    <row r="76" s="3" customFormat="1" ht="16" customHeight="1" spans="1:11">
      <c r="A76" s="20">
        <v>46158</v>
      </c>
      <c r="B76" s="3" t="s">
        <v>1331</v>
      </c>
      <c r="C76" s="3" t="s">
        <v>1103</v>
      </c>
      <c r="D76" s="2" t="s">
        <v>1064</v>
      </c>
      <c r="E76" s="9">
        <v>27</v>
      </c>
      <c r="G76" s="21"/>
      <c r="I76" s="26"/>
      <c r="J76" s="27" t="s">
        <v>1344</v>
      </c>
      <c r="K76" s="21"/>
    </row>
    <row r="77" s="3" customFormat="1" ht="16" customHeight="1" spans="1:11">
      <c r="A77" s="20">
        <v>46158</v>
      </c>
      <c r="B77" s="3" t="s">
        <v>1331</v>
      </c>
      <c r="C77" s="3" t="s">
        <v>1103</v>
      </c>
      <c r="D77" s="2" t="s">
        <v>1064</v>
      </c>
      <c r="E77" s="9">
        <v>27</v>
      </c>
      <c r="G77" s="21"/>
      <c r="I77" s="26"/>
      <c r="J77" s="27" t="s">
        <v>1345</v>
      </c>
      <c r="K77" s="21"/>
    </row>
    <row r="78" s="2" customFormat="1" ht="16" customHeight="1" spans="1:11">
      <c r="A78" s="13">
        <v>46159</v>
      </c>
      <c r="B78" s="2" t="s">
        <v>1096</v>
      </c>
      <c r="C78" s="2" t="s">
        <v>1101</v>
      </c>
      <c r="D78" s="2" t="s">
        <v>1067</v>
      </c>
      <c r="E78" s="9">
        <v>27</v>
      </c>
      <c r="G78" s="9"/>
      <c r="I78" s="18"/>
      <c r="J78" s="16" t="s">
        <v>1346</v>
      </c>
      <c r="K78" s="9"/>
    </row>
    <row r="79" s="2" customFormat="1" ht="16" customHeight="1" spans="1:11">
      <c r="A79" s="13">
        <v>46159</v>
      </c>
      <c r="B79" s="2" t="s">
        <v>1096</v>
      </c>
      <c r="C79" s="2" t="s">
        <v>1101</v>
      </c>
      <c r="D79" s="2" t="s">
        <v>1067</v>
      </c>
      <c r="E79" s="9">
        <v>27</v>
      </c>
      <c r="G79" s="9"/>
      <c r="I79" s="18"/>
      <c r="J79" s="16" t="s">
        <v>1273</v>
      </c>
      <c r="K79" s="9"/>
    </row>
    <row r="80" s="2" customFormat="1" ht="16" customHeight="1" spans="1:11">
      <c r="A80" s="13">
        <v>46160</v>
      </c>
      <c r="B80" s="2" t="s">
        <v>1096</v>
      </c>
      <c r="C80" s="2" t="s">
        <v>1101</v>
      </c>
      <c r="D80" s="2" t="s">
        <v>1067</v>
      </c>
      <c r="E80" s="9">
        <v>27</v>
      </c>
      <c r="G80" s="9"/>
      <c r="I80" s="18"/>
      <c r="J80" s="16" t="s">
        <v>1337</v>
      </c>
      <c r="K80" s="9"/>
    </row>
    <row r="81" s="2" customFormat="1" ht="16" customHeight="1" spans="1:11">
      <c r="A81" s="13">
        <v>46160</v>
      </c>
      <c r="B81" s="2" t="s">
        <v>1096</v>
      </c>
      <c r="C81" s="2" t="s">
        <v>1101</v>
      </c>
      <c r="D81" s="2" t="s">
        <v>1067</v>
      </c>
      <c r="E81" s="9">
        <v>27</v>
      </c>
      <c r="G81" s="9"/>
      <c r="I81" s="18"/>
      <c r="J81" s="16" t="s">
        <v>1347</v>
      </c>
      <c r="K81" s="9"/>
    </row>
    <row r="82" s="2" customFormat="1" ht="16" customHeight="1" spans="1:11">
      <c r="A82" s="13">
        <v>46162</v>
      </c>
      <c r="B82" s="2" t="s">
        <v>1096</v>
      </c>
      <c r="C82" s="2" t="s">
        <v>1101</v>
      </c>
      <c r="D82" s="2" t="s">
        <v>1067</v>
      </c>
      <c r="E82" s="9">
        <v>27</v>
      </c>
      <c r="G82" s="9"/>
      <c r="I82" s="18"/>
      <c r="J82" s="16" t="s">
        <v>1273</v>
      </c>
      <c r="K82" s="9"/>
    </row>
    <row r="83" s="2" customFormat="1" ht="16" customHeight="1" spans="1:11">
      <c r="A83" s="13">
        <v>46163</v>
      </c>
      <c r="B83" s="2" t="s">
        <v>1096</v>
      </c>
      <c r="C83" s="2" t="s">
        <v>1101</v>
      </c>
      <c r="D83" s="2" t="s">
        <v>1067</v>
      </c>
      <c r="E83" s="9">
        <v>27</v>
      </c>
      <c r="G83" s="9"/>
      <c r="I83" s="18"/>
      <c r="J83" s="16" t="s">
        <v>1348</v>
      </c>
      <c r="K83" s="9"/>
    </row>
    <row r="84" s="2" customFormat="1" ht="16" customHeight="1" spans="1:11">
      <c r="A84" s="13">
        <v>46165</v>
      </c>
      <c r="B84" s="17" t="s">
        <v>1272</v>
      </c>
      <c r="C84" s="2" t="s">
        <v>1114</v>
      </c>
      <c r="D84" s="2" t="s">
        <v>1234</v>
      </c>
      <c r="E84" s="9">
        <v>15</v>
      </c>
      <c r="G84" s="9"/>
      <c r="I84" s="18"/>
      <c r="J84" s="16" t="s">
        <v>1349</v>
      </c>
      <c r="K84" s="9"/>
    </row>
    <row r="85" s="2" customFormat="1" ht="16" customHeight="1" spans="1:11">
      <c r="A85" s="13">
        <v>46165</v>
      </c>
      <c r="B85" s="17" t="s">
        <v>1121</v>
      </c>
      <c r="C85" s="2" t="s">
        <v>1122</v>
      </c>
      <c r="D85" s="2" t="s">
        <v>1089</v>
      </c>
      <c r="E85" s="9">
        <v>30.8</v>
      </c>
      <c r="G85" s="9"/>
      <c r="I85" s="18"/>
      <c r="J85" s="16" t="s">
        <v>1350</v>
      </c>
      <c r="K85" s="9"/>
    </row>
    <row r="86" s="2" customFormat="1" ht="16" customHeight="1" spans="1:11">
      <c r="A86" s="13">
        <v>46168</v>
      </c>
      <c r="B86" s="2" t="s">
        <v>1115</v>
      </c>
      <c r="C86" s="2" t="s">
        <v>1116</v>
      </c>
      <c r="D86" s="2" t="s">
        <v>1067</v>
      </c>
      <c r="E86" s="9">
        <v>28</v>
      </c>
      <c r="G86" s="9"/>
      <c r="I86" s="18"/>
      <c r="J86" s="16" t="s">
        <v>1351</v>
      </c>
      <c r="K86" s="9"/>
    </row>
    <row r="87" s="2" customFormat="1" ht="16" customHeight="1" spans="1:11">
      <c r="A87" s="13">
        <v>46168</v>
      </c>
      <c r="B87" s="2" t="s">
        <v>1115</v>
      </c>
      <c r="C87" s="2" t="s">
        <v>1116</v>
      </c>
      <c r="D87" s="2" t="s">
        <v>1067</v>
      </c>
      <c r="E87" s="9">
        <v>28</v>
      </c>
      <c r="G87" s="9"/>
      <c r="I87" s="18"/>
      <c r="J87" s="16" t="s">
        <v>1352</v>
      </c>
      <c r="K87" s="9"/>
    </row>
    <row r="88" s="2" customFormat="1" ht="16" customHeight="1" spans="1:11">
      <c r="A88" s="13">
        <v>46169</v>
      </c>
      <c r="B88" s="2" t="s">
        <v>847</v>
      </c>
      <c r="C88" s="2" t="s">
        <v>1118</v>
      </c>
      <c r="D88" s="2" t="s">
        <v>1234</v>
      </c>
      <c r="E88" s="9">
        <v>27</v>
      </c>
      <c r="G88" s="9"/>
      <c r="I88" s="18"/>
      <c r="J88" s="16" t="s">
        <v>1353</v>
      </c>
      <c r="K88" s="9"/>
    </row>
    <row r="89" s="2" customFormat="1" ht="16" customHeight="1" spans="1:11">
      <c r="A89" s="13">
        <v>46169</v>
      </c>
      <c r="B89" s="2" t="s">
        <v>1096</v>
      </c>
      <c r="C89" s="2" t="s">
        <v>1101</v>
      </c>
      <c r="D89" s="2" t="s">
        <v>1067</v>
      </c>
      <c r="E89" s="9">
        <v>27</v>
      </c>
      <c r="G89" s="9"/>
      <c r="I89" s="18"/>
      <c r="J89" s="16" t="s">
        <v>1337</v>
      </c>
      <c r="K89" s="9"/>
    </row>
    <row r="90" s="2" customFormat="1" ht="16" customHeight="1" spans="1:11">
      <c r="A90" s="13">
        <v>46169</v>
      </c>
      <c r="B90" s="2" t="s">
        <v>1096</v>
      </c>
      <c r="C90" s="2" t="s">
        <v>1101</v>
      </c>
      <c r="D90" s="2" t="s">
        <v>1067</v>
      </c>
      <c r="E90" s="9">
        <v>27</v>
      </c>
      <c r="G90" s="9"/>
      <c r="I90" s="18"/>
      <c r="J90" s="16" t="s">
        <v>1346</v>
      </c>
      <c r="K90" s="9"/>
    </row>
    <row r="91" s="2" customFormat="1" ht="16" customHeight="1" spans="1:11">
      <c r="A91" s="13">
        <v>46169</v>
      </c>
      <c r="B91" s="2" t="s">
        <v>1096</v>
      </c>
      <c r="C91" s="2" t="s">
        <v>1101</v>
      </c>
      <c r="D91" s="2" t="s">
        <v>1067</v>
      </c>
      <c r="E91" s="9">
        <v>27</v>
      </c>
      <c r="G91" s="9"/>
      <c r="I91" s="18"/>
      <c r="J91" s="16" t="s">
        <v>1334</v>
      </c>
      <c r="K91" s="9"/>
    </row>
    <row r="92" s="2" customFormat="1" ht="16" customHeight="1" spans="1:11">
      <c r="A92" s="13">
        <v>46169</v>
      </c>
      <c r="B92" s="2" t="s">
        <v>1096</v>
      </c>
      <c r="C92" s="2" t="s">
        <v>1101</v>
      </c>
      <c r="D92" s="2" t="s">
        <v>1067</v>
      </c>
      <c r="E92" s="9">
        <v>27</v>
      </c>
      <c r="G92" s="9"/>
      <c r="I92" s="18"/>
      <c r="J92" s="16" t="s">
        <v>1347</v>
      </c>
      <c r="K92" s="9"/>
    </row>
    <row r="93" s="2" customFormat="1" ht="16" customHeight="1" spans="1:11">
      <c r="A93" s="13">
        <v>46169</v>
      </c>
      <c r="B93" s="2" t="s">
        <v>1096</v>
      </c>
      <c r="C93" s="2" t="s">
        <v>1101</v>
      </c>
      <c r="D93" s="2" t="s">
        <v>1067</v>
      </c>
      <c r="E93" s="9">
        <v>27</v>
      </c>
      <c r="G93" s="9"/>
      <c r="I93" s="18"/>
      <c r="J93" s="16" t="s">
        <v>1354</v>
      </c>
      <c r="K93" s="9"/>
    </row>
    <row r="94" s="2" customFormat="1" ht="16" customHeight="1" spans="1:11">
      <c r="A94" s="13">
        <v>46174</v>
      </c>
      <c r="B94" s="2" t="s">
        <v>1355</v>
      </c>
      <c r="C94" s="2" t="s">
        <v>1113</v>
      </c>
      <c r="D94" s="2" t="s">
        <v>1064</v>
      </c>
      <c r="E94" s="9">
        <v>27.5</v>
      </c>
      <c r="G94" s="9"/>
      <c r="I94" s="18"/>
      <c r="J94" s="16" t="s">
        <v>1356</v>
      </c>
      <c r="K94" s="9"/>
    </row>
    <row r="95" s="2" customFormat="1" ht="16" customHeight="1" spans="1:11">
      <c r="A95" s="13">
        <v>46176</v>
      </c>
      <c r="B95" s="2" t="s">
        <v>1073</v>
      </c>
      <c r="C95" s="2" t="s">
        <v>1123</v>
      </c>
      <c r="D95" s="2" t="s">
        <v>1067</v>
      </c>
      <c r="E95" s="9">
        <v>27.5</v>
      </c>
      <c r="G95" s="9"/>
      <c r="I95" s="18"/>
      <c r="J95" s="16" t="s">
        <v>1357</v>
      </c>
      <c r="K95" s="9"/>
    </row>
    <row r="96" s="2" customFormat="1" ht="16" customHeight="1" spans="1:11">
      <c r="A96" s="22">
        <v>46176</v>
      </c>
      <c r="B96" s="23" t="s">
        <v>842</v>
      </c>
      <c r="C96" s="24" t="s">
        <v>1120</v>
      </c>
      <c r="D96" s="24" t="s">
        <v>844</v>
      </c>
      <c r="E96" s="25">
        <v>20</v>
      </c>
      <c r="G96" s="9"/>
      <c r="I96" s="18"/>
      <c r="J96" s="28" t="s">
        <v>1358</v>
      </c>
      <c r="K96" s="9"/>
    </row>
    <row r="97" s="2" customFormat="1" ht="16" customHeight="1" spans="1:11">
      <c r="A97" s="22">
        <v>46176</v>
      </c>
      <c r="B97" s="23" t="s">
        <v>842</v>
      </c>
      <c r="C97" s="24" t="s">
        <v>1120</v>
      </c>
      <c r="D97" s="24" t="s">
        <v>844</v>
      </c>
      <c r="E97" s="25">
        <v>20</v>
      </c>
      <c r="G97" s="9"/>
      <c r="I97" s="18"/>
      <c r="J97" s="28" t="s">
        <v>1359</v>
      </c>
      <c r="K97" s="9"/>
    </row>
    <row r="98" s="2" customFormat="1" ht="16" customHeight="1" spans="1:11">
      <c r="A98" s="22">
        <v>46176</v>
      </c>
      <c r="B98" s="23" t="s">
        <v>842</v>
      </c>
      <c r="C98" s="24" t="s">
        <v>1120</v>
      </c>
      <c r="D98" s="24" t="s">
        <v>844</v>
      </c>
      <c r="E98" s="25">
        <v>20</v>
      </c>
      <c r="G98" s="9"/>
      <c r="I98" s="18"/>
      <c r="J98" s="28" t="s">
        <v>1360</v>
      </c>
      <c r="K98" s="9"/>
    </row>
    <row r="99" s="2" customFormat="1" ht="16" customHeight="1" spans="1:11">
      <c r="A99" s="22">
        <v>46177</v>
      </c>
      <c r="B99" s="23" t="s">
        <v>842</v>
      </c>
      <c r="C99" s="24" t="s">
        <v>1120</v>
      </c>
      <c r="D99" s="24" t="s">
        <v>844</v>
      </c>
      <c r="E99" s="25">
        <v>20</v>
      </c>
      <c r="G99" s="9"/>
      <c r="I99" s="18"/>
      <c r="J99" s="28" t="s">
        <v>1361</v>
      </c>
      <c r="K99" s="9"/>
    </row>
    <row r="100" s="2" customFormat="1" ht="16" customHeight="1" spans="1:11">
      <c r="A100" s="22">
        <v>46177</v>
      </c>
      <c r="B100" s="23" t="s">
        <v>842</v>
      </c>
      <c r="C100" s="24" t="s">
        <v>1120</v>
      </c>
      <c r="D100" s="24" t="s">
        <v>844</v>
      </c>
      <c r="E100" s="25">
        <v>20</v>
      </c>
      <c r="G100" s="9"/>
      <c r="I100" s="18"/>
      <c r="J100" s="28" t="s">
        <v>1362</v>
      </c>
      <c r="K100" s="9"/>
    </row>
    <row r="101" s="2" customFormat="1" ht="16" customHeight="1" spans="1:11">
      <c r="A101" s="22">
        <v>46177</v>
      </c>
      <c r="B101" s="23" t="s">
        <v>842</v>
      </c>
      <c r="C101" s="24" t="s">
        <v>1120</v>
      </c>
      <c r="D101" s="24" t="s">
        <v>844</v>
      </c>
      <c r="E101" s="25">
        <v>20</v>
      </c>
      <c r="G101" s="9"/>
      <c r="I101" s="18"/>
      <c r="J101" s="28" t="s">
        <v>1363</v>
      </c>
      <c r="K101" s="9"/>
    </row>
    <row r="102" s="2" customFormat="1" ht="16" customHeight="1" spans="1:11">
      <c r="A102" s="13">
        <v>46183</v>
      </c>
      <c r="B102" s="2" t="s">
        <v>842</v>
      </c>
      <c r="C102" s="2" t="s">
        <v>1119</v>
      </c>
      <c r="D102" s="2" t="s">
        <v>1086</v>
      </c>
      <c r="E102" s="9">
        <v>20</v>
      </c>
      <c r="G102" s="9"/>
      <c r="I102" s="18"/>
      <c r="J102" s="16" t="s">
        <v>1364</v>
      </c>
      <c r="K102" s="9"/>
    </row>
    <row r="103" s="2" customFormat="1" ht="16" customHeight="1" spans="1:11">
      <c r="A103" s="13">
        <v>46183</v>
      </c>
      <c r="B103" s="2" t="s">
        <v>842</v>
      </c>
      <c r="C103" s="2" t="s">
        <v>1119</v>
      </c>
      <c r="D103" s="2" t="s">
        <v>1086</v>
      </c>
      <c r="E103" s="9">
        <v>20</v>
      </c>
      <c r="G103" s="9"/>
      <c r="I103" s="18"/>
      <c r="J103" s="16" t="s">
        <v>1365</v>
      </c>
      <c r="K103" s="9"/>
    </row>
    <row r="104" s="2" customFormat="1" ht="16" customHeight="1" spans="1:11">
      <c r="A104" s="13">
        <v>46183</v>
      </c>
      <c r="B104" s="2" t="s">
        <v>842</v>
      </c>
      <c r="C104" s="2" t="s">
        <v>1119</v>
      </c>
      <c r="D104" s="2" t="s">
        <v>1086</v>
      </c>
      <c r="E104" s="9">
        <v>20</v>
      </c>
      <c r="G104" s="9"/>
      <c r="I104" s="18"/>
      <c r="J104" s="16" t="s">
        <v>1366</v>
      </c>
      <c r="K104" s="9"/>
    </row>
    <row r="105" s="2" customFormat="1" ht="16" customHeight="1" spans="1:11">
      <c r="A105" s="13">
        <v>46183</v>
      </c>
      <c r="B105" s="2" t="s">
        <v>842</v>
      </c>
      <c r="C105" s="2" t="s">
        <v>1119</v>
      </c>
      <c r="D105" s="2" t="s">
        <v>1086</v>
      </c>
      <c r="E105" s="9">
        <v>20</v>
      </c>
      <c r="G105" s="9"/>
      <c r="I105" s="18"/>
      <c r="J105" s="16" t="s">
        <v>1367</v>
      </c>
      <c r="K105" s="9"/>
    </row>
    <row r="106" s="2" customFormat="1" ht="16" customHeight="1" spans="1:11">
      <c r="A106" s="13">
        <v>46183</v>
      </c>
      <c r="B106" s="2" t="s">
        <v>842</v>
      </c>
      <c r="C106" s="2" t="s">
        <v>1119</v>
      </c>
      <c r="D106" s="2" t="s">
        <v>1086</v>
      </c>
      <c r="E106" s="9">
        <v>20</v>
      </c>
      <c r="G106" s="9"/>
      <c r="I106" s="18"/>
      <c r="J106" s="16" t="s">
        <v>1368</v>
      </c>
      <c r="K106" s="9"/>
    </row>
    <row r="107" s="2" customFormat="1" ht="16" customHeight="1" spans="1:11">
      <c r="A107" s="13">
        <v>46185</v>
      </c>
      <c r="B107" s="2" t="s">
        <v>842</v>
      </c>
      <c r="C107" s="2" t="s">
        <v>1119</v>
      </c>
      <c r="D107" s="2" t="s">
        <v>1086</v>
      </c>
      <c r="E107" s="9">
        <v>20</v>
      </c>
      <c r="G107" s="9"/>
      <c r="I107" s="18"/>
      <c r="J107" s="16" t="s">
        <v>1369</v>
      </c>
      <c r="K107" s="9"/>
    </row>
    <row r="108" s="2" customFormat="1" ht="16" customHeight="1" spans="1:11">
      <c r="A108" s="13">
        <v>46185</v>
      </c>
      <c r="B108" s="2" t="s">
        <v>842</v>
      </c>
      <c r="C108" s="2" t="s">
        <v>1119</v>
      </c>
      <c r="D108" s="2" t="s">
        <v>1086</v>
      </c>
      <c r="E108" s="9">
        <v>20</v>
      </c>
      <c r="G108" s="9"/>
      <c r="I108" s="18"/>
      <c r="J108" s="16" t="s">
        <v>1370</v>
      </c>
      <c r="K108" s="9"/>
    </row>
    <row r="109" s="2" customFormat="1" ht="16" customHeight="1" spans="1:11">
      <c r="A109" s="13">
        <v>46185</v>
      </c>
      <c r="B109" s="2" t="s">
        <v>842</v>
      </c>
      <c r="C109" s="2" t="s">
        <v>1119</v>
      </c>
      <c r="D109" s="2" t="s">
        <v>1086</v>
      </c>
      <c r="E109" s="9">
        <v>20</v>
      </c>
      <c r="G109" s="9"/>
      <c r="I109" s="18"/>
      <c r="J109" s="16" t="s">
        <v>1371</v>
      </c>
      <c r="K109" s="9"/>
    </row>
    <row r="110" s="2" customFormat="1" ht="16" customHeight="1" spans="1:11">
      <c r="A110" s="13">
        <v>46185</v>
      </c>
      <c r="B110" s="2" t="s">
        <v>842</v>
      </c>
      <c r="C110" s="2" t="s">
        <v>1119</v>
      </c>
      <c r="D110" s="2" t="s">
        <v>1086</v>
      </c>
      <c r="E110" s="9">
        <v>20</v>
      </c>
      <c r="G110" s="9"/>
      <c r="I110" s="18"/>
      <c r="J110" s="16" t="s">
        <v>1370</v>
      </c>
      <c r="K110" s="9"/>
    </row>
    <row r="111" s="2" customFormat="1" ht="16" customHeight="1" spans="1:11">
      <c r="A111" s="13">
        <v>46185</v>
      </c>
      <c r="B111" s="2" t="s">
        <v>842</v>
      </c>
      <c r="C111" s="2" t="s">
        <v>1119</v>
      </c>
      <c r="D111" s="2" t="s">
        <v>1086</v>
      </c>
      <c r="E111" s="9">
        <v>20</v>
      </c>
      <c r="G111" s="9"/>
      <c r="I111" s="18"/>
      <c r="J111" s="16" t="s">
        <v>1372</v>
      </c>
      <c r="K111" s="9"/>
    </row>
    <row r="112" s="2" customFormat="1" ht="16" customHeight="1" spans="1:11">
      <c r="A112" s="13">
        <v>46185</v>
      </c>
      <c r="B112" s="2" t="s">
        <v>842</v>
      </c>
      <c r="C112" s="2" t="s">
        <v>1119</v>
      </c>
      <c r="D112" s="2" t="s">
        <v>1086</v>
      </c>
      <c r="E112" s="9">
        <v>20</v>
      </c>
      <c r="G112" s="9"/>
      <c r="I112" s="18"/>
      <c r="J112" s="16" t="s">
        <v>1373</v>
      </c>
      <c r="K112" s="9"/>
    </row>
    <row r="113" s="2" customFormat="1" ht="16" customHeight="1" spans="1:11">
      <c r="A113" s="13">
        <v>46188</v>
      </c>
      <c r="B113" s="2" t="s">
        <v>842</v>
      </c>
      <c r="C113" s="2" t="s">
        <v>1119</v>
      </c>
      <c r="D113" s="2" t="s">
        <v>1086</v>
      </c>
      <c r="E113" s="9">
        <v>20</v>
      </c>
      <c r="G113" s="9"/>
      <c r="I113" s="18"/>
      <c r="J113" s="16" t="s">
        <v>1374</v>
      </c>
      <c r="K113" s="9"/>
    </row>
    <row r="114" s="2" customFormat="1" ht="16" customHeight="1" spans="1:11">
      <c r="A114" s="13">
        <v>46188</v>
      </c>
      <c r="B114" s="2" t="s">
        <v>842</v>
      </c>
      <c r="C114" s="2" t="s">
        <v>1119</v>
      </c>
      <c r="D114" s="2" t="s">
        <v>1086</v>
      </c>
      <c r="E114" s="9">
        <v>20</v>
      </c>
      <c r="G114" s="9"/>
      <c r="I114" s="18"/>
      <c r="J114" s="16" t="s">
        <v>1375</v>
      </c>
      <c r="K114" s="9"/>
    </row>
    <row r="115" s="2" customFormat="1" ht="16" customHeight="1" spans="1:11">
      <c r="A115" s="13">
        <v>46188</v>
      </c>
      <c r="B115" s="2" t="s">
        <v>842</v>
      </c>
      <c r="C115" s="2" t="s">
        <v>1119</v>
      </c>
      <c r="D115" s="2" t="s">
        <v>1086</v>
      </c>
      <c r="E115" s="9">
        <v>20</v>
      </c>
      <c r="G115" s="9"/>
      <c r="I115" s="18"/>
      <c r="J115" s="16" t="s">
        <v>1376</v>
      </c>
      <c r="K115" s="9"/>
    </row>
    <row r="116" s="2" customFormat="1" ht="16" customHeight="1" spans="1:11">
      <c r="A116" s="13">
        <v>46188</v>
      </c>
      <c r="B116" s="2" t="s">
        <v>842</v>
      </c>
      <c r="C116" s="2" t="s">
        <v>1119</v>
      </c>
      <c r="D116" s="2" t="s">
        <v>1086</v>
      </c>
      <c r="E116" s="9">
        <v>20</v>
      </c>
      <c r="G116" s="9"/>
      <c r="I116" s="18"/>
      <c r="J116" s="16" t="s">
        <v>1377</v>
      </c>
      <c r="K116" s="9"/>
    </row>
    <row r="117" s="2" customFormat="1" ht="16" customHeight="1" spans="1:11">
      <c r="A117" s="13">
        <v>46189</v>
      </c>
      <c r="B117" s="2" t="s">
        <v>842</v>
      </c>
      <c r="C117" s="2" t="s">
        <v>1119</v>
      </c>
      <c r="D117" s="2" t="s">
        <v>1086</v>
      </c>
      <c r="E117" s="9">
        <v>20</v>
      </c>
      <c r="G117" s="9"/>
      <c r="I117" s="18"/>
      <c r="J117" s="16" t="s">
        <v>1378</v>
      </c>
      <c r="K117" s="9"/>
    </row>
    <row r="118" s="2" customFormat="1" ht="16" customHeight="1" spans="1:11">
      <c r="A118" s="13">
        <v>46190</v>
      </c>
      <c r="B118" s="2" t="s">
        <v>842</v>
      </c>
      <c r="C118" s="2" t="s">
        <v>1119</v>
      </c>
      <c r="D118" s="2" t="s">
        <v>1086</v>
      </c>
      <c r="E118" s="9">
        <v>20</v>
      </c>
      <c r="G118" s="9"/>
      <c r="I118" s="18"/>
      <c r="J118" s="16" t="s">
        <v>1351</v>
      </c>
      <c r="K118" s="9"/>
    </row>
    <row r="119" s="2" customFormat="1" ht="16" customHeight="1" spans="1:11">
      <c r="A119" s="13">
        <v>46190</v>
      </c>
      <c r="B119" s="2" t="s">
        <v>842</v>
      </c>
      <c r="C119" s="2" t="s">
        <v>1119</v>
      </c>
      <c r="D119" s="2" t="s">
        <v>1086</v>
      </c>
      <c r="E119" s="9">
        <v>20</v>
      </c>
      <c r="G119" s="9"/>
      <c r="I119" s="18"/>
      <c r="J119" s="16" t="s">
        <v>1379</v>
      </c>
      <c r="K119" s="9"/>
    </row>
    <row r="120" s="2" customFormat="1" ht="16" customHeight="1" spans="1:11">
      <c r="A120" s="13">
        <v>46201</v>
      </c>
      <c r="B120" s="2" t="s">
        <v>842</v>
      </c>
      <c r="C120" s="2" t="s">
        <v>1119</v>
      </c>
      <c r="D120" s="2" t="s">
        <v>1086</v>
      </c>
      <c r="E120" s="9">
        <v>20</v>
      </c>
      <c r="G120" s="9"/>
      <c r="I120" s="18" t="s">
        <v>1380</v>
      </c>
      <c r="J120" s="16" t="s">
        <v>1375</v>
      </c>
      <c r="K120" s="9"/>
    </row>
    <row r="121" s="2" customFormat="1" ht="16" customHeight="1" spans="1:11">
      <c r="A121" s="13">
        <v>46201</v>
      </c>
      <c r="B121" s="2" t="s">
        <v>842</v>
      </c>
      <c r="C121" s="2" t="s">
        <v>1119</v>
      </c>
      <c r="D121" s="2" t="s">
        <v>1086</v>
      </c>
      <c r="E121" s="9">
        <v>20</v>
      </c>
      <c r="G121" s="9"/>
      <c r="I121" s="18" t="s">
        <v>1381</v>
      </c>
      <c r="J121" s="16" t="s">
        <v>1382</v>
      </c>
      <c r="K121" s="9"/>
    </row>
    <row r="122" s="2" customFormat="1" ht="16" customHeight="1" spans="1:11">
      <c r="A122" s="13">
        <v>46201</v>
      </c>
      <c r="B122" s="2" t="s">
        <v>842</v>
      </c>
      <c r="C122" s="2" t="s">
        <v>1119</v>
      </c>
      <c r="D122" s="2" t="s">
        <v>1086</v>
      </c>
      <c r="E122" s="9">
        <v>20</v>
      </c>
      <c r="G122" s="9"/>
      <c r="I122" s="18" t="s">
        <v>1383</v>
      </c>
      <c r="J122" s="16" t="s">
        <v>1370</v>
      </c>
      <c r="K122" s="9"/>
    </row>
    <row r="123" s="2" customFormat="1" ht="16" customHeight="1" spans="1:11">
      <c r="A123" s="13">
        <v>46201</v>
      </c>
      <c r="B123" s="2" t="s">
        <v>842</v>
      </c>
      <c r="C123" s="2" t="s">
        <v>1119</v>
      </c>
      <c r="D123" s="2" t="s">
        <v>1086</v>
      </c>
      <c r="E123" s="9">
        <v>20</v>
      </c>
      <c r="G123" s="9"/>
      <c r="I123" s="18" t="s">
        <v>1384</v>
      </c>
      <c r="J123" s="16" t="s">
        <v>1351</v>
      </c>
      <c r="K123" s="9"/>
    </row>
    <row r="124" s="2" customFormat="1" ht="16" customHeight="1" spans="1:11">
      <c r="A124" s="13">
        <v>46212</v>
      </c>
      <c r="B124" s="2" t="s">
        <v>833</v>
      </c>
      <c r="C124" s="2" t="s">
        <v>1124</v>
      </c>
      <c r="D124" s="2" t="s">
        <v>1067</v>
      </c>
      <c r="E124" s="9">
        <v>27.5</v>
      </c>
      <c r="G124" s="9"/>
      <c r="I124" s="18"/>
      <c r="J124" s="16" t="s">
        <v>1385</v>
      </c>
      <c r="K124" s="9" t="s">
        <v>1386</v>
      </c>
    </row>
    <row r="125" s="2" customFormat="1" ht="16" customHeight="1" spans="1:12">
      <c r="A125" s="13">
        <v>46212</v>
      </c>
      <c r="B125" s="2" t="s">
        <v>833</v>
      </c>
      <c r="C125" s="2" t="s">
        <v>1124</v>
      </c>
      <c r="D125" s="2" t="s">
        <v>1067</v>
      </c>
      <c r="E125" s="9">
        <v>25</v>
      </c>
      <c r="G125" s="9"/>
      <c r="I125" s="29"/>
      <c r="J125" s="30" t="s">
        <v>1387</v>
      </c>
      <c r="K125" s="31" t="s">
        <v>1386</v>
      </c>
      <c r="L125" s="32"/>
    </row>
    <row r="126" s="1" customFormat="1" spans="1:11">
      <c r="A126" s="13">
        <v>46212</v>
      </c>
      <c r="B126" s="2" t="s">
        <v>833</v>
      </c>
      <c r="C126" s="2" t="s">
        <v>1124</v>
      </c>
      <c r="D126" s="2" t="s">
        <v>1388</v>
      </c>
      <c r="E126" s="9">
        <v>1</v>
      </c>
      <c r="J126" s="33"/>
      <c r="K126" s="34"/>
    </row>
    <row r="127" s="1" customFormat="1" spans="1:11">
      <c r="A127" s="13">
        <v>46212</v>
      </c>
      <c r="B127" s="2" t="s">
        <v>833</v>
      </c>
      <c r="C127" s="2" t="s">
        <v>1124</v>
      </c>
      <c r="D127" s="2" t="s">
        <v>1234</v>
      </c>
      <c r="E127" s="9">
        <v>1</v>
      </c>
      <c r="J127" s="33"/>
      <c r="K127" s="34"/>
    </row>
    <row r="128" s="1" customFormat="1" spans="1:11">
      <c r="A128" s="13">
        <v>46212</v>
      </c>
      <c r="B128" s="2" t="s">
        <v>833</v>
      </c>
      <c r="C128" s="2" t="s">
        <v>1124</v>
      </c>
      <c r="D128" s="2" t="s">
        <v>1064</v>
      </c>
      <c r="E128" s="9">
        <v>0.5</v>
      </c>
      <c r="J128" s="33"/>
      <c r="K128" s="34"/>
    </row>
    <row r="129" s="2" customFormat="1" ht="16" customHeight="1" spans="1:11">
      <c r="A129" s="13">
        <v>46213</v>
      </c>
      <c r="B129" s="2" t="s">
        <v>1083</v>
      </c>
      <c r="C129" s="2" t="s">
        <v>1126</v>
      </c>
      <c r="D129" s="2" t="s">
        <v>1064</v>
      </c>
      <c r="E129" s="9">
        <v>27.5</v>
      </c>
      <c r="G129" s="9"/>
      <c r="I129" s="18"/>
      <c r="J129" s="16" t="s">
        <v>1389</v>
      </c>
      <c r="K129" s="9" t="s">
        <v>1245</v>
      </c>
    </row>
    <row r="130" s="2" customFormat="1" ht="16" customHeight="1" spans="1:11">
      <c r="A130" s="13">
        <v>46219</v>
      </c>
      <c r="B130" s="2" t="s">
        <v>1115</v>
      </c>
      <c r="C130" s="2" t="s">
        <v>1132</v>
      </c>
      <c r="D130" s="2" t="s">
        <v>1067</v>
      </c>
      <c r="E130" s="9">
        <v>34</v>
      </c>
      <c r="G130" s="9"/>
      <c r="I130" s="18"/>
      <c r="J130" s="16" t="s">
        <v>1390</v>
      </c>
      <c r="K130" s="9" t="s">
        <v>1391</v>
      </c>
    </row>
    <row r="131" s="2" customFormat="1" ht="16" customHeight="1" spans="1:11">
      <c r="A131" s="13">
        <v>46219</v>
      </c>
      <c r="B131" s="2" t="s">
        <v>1115</v>
      </c>
      <c r="C131" s="2" t="s">
        <v>1132</v>
      </c>
      <c r="D131" s="2" t="s">
        <v>1067</v>
      </c>
      <c r="E131" s="9">
        <v>8</v>
      </c>
      <c r="G131" s="9"/>
      <c r="I131" s="18"/>
      <c r="J131" s="16" t="s">
        <v>1392</v>
      </c>
      <c r="K131" s="9" t="s">
        <v>1391</v>
      </c>
    </row>
    <row r="132" s="2" customFormat="1" ht="16" customHeight="1" spans="1:11">
      <c r="A132" s="13">
        <v>46226</v>
      </c>
      <c r="B132" s="2" t="s">
        <v>1096</v>
      </c>
      <c r="C132" s="2" t="s">
        <v>1131</v>
      </c>
      <c r="D132" s="2" t="s">
        <v>1067</v>
      </c>
      <c r="E132" s="9">
        <v>27</v>
      </c>
      <c r="G132" s="9"/>
      <c r="I132" s="18" t="s">
        <v>1393</v>
      </c>
      <c r="J132" s="16" t="s">
        <v>1394</v>
      </c>
      <c r="K132" s="9" t="s">
        <v>466</v>
      </c>
    </row>
    <row r="133" s="2" customFormat="1" ht="16" customHeight="1" spans="1:11">
      <c r="A133" s="13">
        <v>46226</v>
      </c>
      <c r="B133" s="2" t="s">
        <v>1096</v>
      </c>
      <c r="C133" s="2" t="s">
        <v>1131</v>
      </c>
      <c r="D133" s="2" t="s">
        <v>1067</v>
      </c>
      <c r="E133" s="9">
        <v>27</v>
      </c>
      <c r="G133" s="9"/>
      <c r="I133" s="18" t="s">
        <v>1395</v>
      </c>
      <c r="J133" s="16" t="s">
        <v>1396</v>
      </c>
      <c r="K133" s="9" t="s">
        <v>466</v>
      </c>
    </row>
    <row r="134" s="2" customFormat="1" ht="16" customHeight="1" spans="1:11">
      <c r="A134" s="13">
        <v>46227</v>
      </c>
      <c r="B134" s="2" t="s">
        <v>847</v>
      </c>
      <c r="C134" s="2" t="s">
        <v>1129</v>
      </c>
      <c r="D134" s="2" t="s">
        <v>1234</v>
      </c>
      <c r="E134" s="9">
        <v>27</v>
      </c>
      <c r="G134" s="9"/>
      <c r="I134" s="18"/>
      <c r="J134" s="16" t="s">
        <v>1337</v>
      </c>
      <c r="K134" s="9" t="s">
        <v>1230</v>
      </c>
    </row>
    <row r="135" s="2" customFormat="1" ht="16" customHeight="1" spans="1:11">
      <c r="A135" s="13">
        <v>46227</v>
      </c>
      <c r="B135" s="2" t="s">
        <v>1096</v>
      </c>
      <c r="C135" s="2" t="s">
        <v>1101</v>
      </c>
      <c r="D135" s="2" t="s">
        <v>1067</v>
      </c>
      <c r="E135" s="9">
        <v>27</v>
      </c>
      <c r="G135" s="9"/>
      <c r="I135" s="18" t="s">
        <v>1397</v>
      </c>
      <c r="J135" s="16" t="s">
        <v>1398</v>
      </c>
      <c r="K135" s="9" t="s">
        <v>466</v>
      </c>
    </row>
    <row r="136" s="2" customFormat="1" ht="16" customHeight="1" spans="1:11">
      <c r="A136" s="13">
        <v>46228</v>
      </c>
      <c r="B136" s="2" t="s">
        <v>1001</v>
      </c>
      <c r="C136" s="2" t="s">
        <v>1135</v>
      </c>
      <c r="D136" s="2" t="s">
        <v>1234</v>
      </c>
      <c r="E136" s="9">
        <v>27.5</v>
      </c>
      <c r="G136" s="9"/>
      <c r="I136" s="18"/>
      <c r="J136" s="16" t="s">
        <v>1399</v>
      </c>
      <c r="K136" s="9" t="s">
        <v>1386</v>
      </c>
    </row>
    <row r="137" s="2" customFormat="1" ht="16" customHeight="1" spans="1:11">
      <c r="A137" s="13">
        <v>46228</v>
      </c>
      <c r="B137" s="2" t="s">
        <v>1001</v>
      </c>
      <c r="C137" s="2" t="s">
        <v>1135</v>
      </c>
      <c r="D137" s="2" t="s">
        <v>1234</v>
      </c>
      <c r="E137" s="9">
        <v>27.5</v>
      </c>
      <c r="G137" s="9"/>
      <c r="I137" s="18"/>
      <c r="J137" s="16" t="s">
        <v>1400</v>
      </c>
      <c r="K137" s="9" t="s">
        <v>1386</v>
      </c>
    </row>
    <row r="138" s="2" customFormat="1" spans="1:11">
      <c r="A138" s="13">
        <v>46229</v>
      </c>
      <c r="B138" s="2" t="s">
        <v>1001</v>
      </c>
      <c r="C138" s="2" t="s">
        <v>1135</v>
      </c>
      <c r="D138" s="2" t="s">
        <v>1059</v>
      </c>
      <c r="E138" s="9">
        <v>12.5</v>
      </c>
      <c r="J138" s="16" t="s">
        <v>1401</v>
      </c>
      <c r="K138" s="9" t="s">
        <v>1386</v>
      </c>
    </row>
    <row r="139" s="2" customFormat="1" spans="1:11">
      <c r="A139" s="13">
        <v>46229</v>
      </c>
      <c r="B139" s="2" t="s">
        <v>1001</v>
      </c>
      <c r="C139" s="2" t="s">
        <v>1135</v>
      </c>
      <c r="D139" s="2" t="s">
        <v>1062</v>
      </c>
      <c r="E139" s="9">
        <v>15</v>
      </c>
      <c r="J139" s="16"/>
      <c r="K139" s="9"/>
    </row>
    <row r="140" s="2" customFormat="1" ht="16" customHeight="1" spans="1:11">
      <c r="A140" s="13">
        <v>46233</v>
      </c>
      <c r="B140" s="2" t="s">
        <v>860</v>
      </c>
      <c r="C140" s="2" t="s">
        <v>1134</v>
      </c>
      <c r="D140" s="2" t="s">
        <v>1059</v>
      </c>
      <c r="E140" s="9">
        <v>14</v>
      </c>
      <c r="G140" s="9"/>
      <c r="I140" s="18"/>
      <c r="J140" s="15" t="s">
        <v>1402</v>
      </c>
      <c r="K140" s="12" t="s">
        <v>1386</v>
      </c>
    </row>
    <row r="141" s="2" customFormat="1" spans="1:11">
      <c r="A141" s="13">
        <v>46233</v>
      </c>
      <c r="B141" s="2" t="s">
        <v>860</v>
      </c>
      <c r="C141" s="2" t="s">
        <v>1134</v>
      </c>
      <c r="D141" s="2" t="s">
        <v>1062</v>
      </c>
      <c r="E141" s="9">
        <v>13.5</v>
      </c>
      <c r="J141" s="14"/>
      <c r="K141" s="8"/>
    </row>
    <row r="142" s="2" customFormat="1" ht="16" customHeight="1" spans="1:11">
      <c r="A142" s="13">
        <v>46233</v>
      </c>
      <c r="B142" s="2" t="s">
        <v>860</v>
      </c>
      <c r="C142" s="2" t="s">
        <v>1134</v>
      </c>
      <c r="D142" s="2" t="s">
        <v>1063</v>
      </c>
      <c r="E142" s="9">
        <v>27.5</v>
      </c>
      <c r="G142" s="9"/>
      <c r="I142" s="18"/>
      <c r="J142" s="16" t="s">
        <v>1403</v>
      </c>
      <c r="K142" s="9" t="s">
        <v>1386</v>
      </c>
    </row>
    <row r="143" s="2" customFormat="1" ht="16" customHeight="1" spans="1:11">
      <c r="A143" s="13">
        <v>46235</v>
      </c>
      <c r="B143" s="2" t="s">
        <v>1127</v>
      </c>
      <c r="C143" s="2" t="s">
        <v>1128</v>
      </c>
      <c r="D143" s="2" t="s">
        <v>1064</v>
      </c>
      <c r="E143" s="9">
        <v>15</v>
      </c>
      <c r="G143" s="9"/>
      <c r="I143" s="18"/>
      <c r="J143" s="16" t="s">
        <v>1404</v>
      </c>
      <c r="K143" s="9" t="s">
        <v>1405</v>
      </c>
    </row>
    <row r="144" s="2" customFormat="1" ht="16" customHeight="1" spans="1:11">
      <c r="A144" s="13">
        <v>46235</v>
      </c>
      <c r="B144" s="2" t="s">
        <v>1073</v>
      </c>
      <c r="C144" s="2" t="s">
        <v>1130</v>
      </c>
      <c r="D144" s="2" t="s">
        <v>1067</v>
      </c>
      <c r="E144" s="9">
        <v>27.5</v>
      </c>
      <c r="G144" s="9"/>
      <c r="H144" s="2" t="s">
        <v>1406</v>
      </c>
      <c r="I144" s="18" t="s">
        <v>1407</v>
      </c>
      <c r="J144" s="16" t="s">
        <v>1408</v>
      </c>
      <c r="K144" s="9" t="s">
        <v>466</v>
      </c>
    </row>
    <row r="145" s="2" customFormat="1" ht="15" customHeight="1" spans="1:11">
      <c r="A145" s="13">
        <v>46239</v>
      </c>
      <c r="B145" s="2" t="s">
        <v>1111</v>
      </c>
      <c r="C145" s="2" t="s">
        <v>1136</v>
      </c>
      <c r="D145" s="2" t="s">
        <v>1067</v>
      </c>
      <c r="E145" s="9">
        <v>27.5</v>
      </c>
      <c r="G145" s="9"/>
      <c r="I145" s="18"/>
      <c r="J145" s="16" t="s">
        <v>1334</v>
      </c>
      <c r="K145" s="9" t="s">
        <v>1230</v>
      </c>
    </row>
    <row r="146" s="2" customFormat="1" ht="15" customHeight="1" spans="1:11">
      <c r="A146" s="13">
        <v>46240</v>
      </c>
      <c r="B146" s="2" t="s">
        <v>1096</v>
      </c>
      <c r="C146" s="2" t="s">
        <v>1131</v>
      </c>
      <c r="D146" s="2" t="s">
        <v>1067</v>
      </c>
      <c r="E146" s="9">
        <v>27</v>
      </c>
      <c r="G146" s="9"/>
      <c r="I146" s="18"/>
      <c r="J146" s="16" t="s">
        <v>1409</v>
      </c>
      <c r="K146" s="9" t="s">
        <v>466</v>
      </c>
    </row>
    <row r="147" s="2" customFormat="1" ht="15" customHeight="1" spans="1:11">
      <c r="A147" s="13">
        <v>46240</v>
      </c>
      <c r="B147" s="2" t="s">
        <v>1096</v>
      </c>
      <c r="C147" s="2" t="s">
        <v>1131</v>
      </c>
      <c r="D147" s="2" t="s">
        <v>1067</v>
      </c>
      <c r="E147" s="9">
        <v>27</v>
      </c>
      <c r="G147" s="9"/>
      <c r="I147" s="18"/>
      <c r="J147" s="16" t="s">
        <v>1410</v>
      </c>
      <c r="K147" s="9" t="s">
        <v>466</v>
      </c>
    </row>
    <row r="148" s="2" customFormat="1" ht="15" customHeight="1" spans="1:11">
      <c r="A148" s="13">
        <v>46240</v>
      </c>
      <c r="B148" s="2" t="s">
        <v>1096</v>
      </c>
      <c r="C148" s="2" t="s">
        <v>1133</v>
      </c>
      <c r="D148" s="2" t="s">
        <v>1067</v>
      </c>
      <c r="E148" s="9">
        <v>27</v>
      </c>
      <c r="G148" s="9"/>
      <c r="I148" s="18"/>
      <c r="J148" s="16" t="s">
        <v>1411</v>
      </c>
      <c r="K148" s="9" t="s">
        <v>466</v>
      </c>
    </row>
    <row r="149" s="2" customFormat="1" ht="15" customHeight="1" spans="1:11">
      <c r="A149" s="13">
        <v>46241</v>
      </c>
      <c r="B149" s="2" t="s">
        <v>833</v>
      </c>
      <c r="C149" s="2" t="s">
        <v>1137</v>
      </c>
      <c r="D149" s="2" t="s">
        <v>1067</v>
      </c>
      <c r="E149" s="9">
        <v>27.5</v>
      </c>
      <c r="G149" s="9"/>
      <c r="I149" s="18"/>
      <c r="J149" s="16" t="s">
        <v>1338</v>
      </c>
      <c r="K149" s="9" t="s">
        <v>1230</v>
      </c>
    </row>
    <row r="150" s="2" customFormat="1" ht="15" customHeight="1" spans="1:11">
      <c r="A150" s="13">
        <v>46241</v>
      </c>
      <c r="B150" s="2" t="s">
        <v>833</v>
      </c>
      <c r="C150" s="2" t="s">
        <v>1137</v>
      </c>
      <c r="D150" s="2" t="s">
        <v>1062</v>
      </c>
      <c r="E150" s="9">
        <v>27.5</v>
      </c>
      <c r="G150" s="9"/>
      <c r="I150" s="18"/>
      <c r="J150" s="16" t="s">
        <v>1412</v>
      </c>
      <c r="K150" s="9" t="s">
        <v>1230</v>
      </c>
    </row>
    <row r="151" s="2" customFormat="1" ht="15" customHeight="1" spans="1:11">
      <c r="A151" s="13">
        <v>46241</v>
      </c>
      <c r="B151" s="2" t="s">
        <v>833</v>
      </c>
      <c r="C151" s="2" t="s">
        <v>1137</v>
      </c>
      <c r="D151" s="2" t="s">
        <v>1413</v>
      </c>
      <c r="E151" s="9">
        <v>27.5</v>
      </c>
      <c r="G151" s="9"/>
      <c r="I151" s="18"/>
      <c r="J151" s="16" t="s">
        <v>1236</v>
      </c>
      <c r="K151" s="9" t="s">
        <v>1230</v>
      </c>
    </row>
    <row r="152" s="2" customFormat="1" ht="15" customHeight="1" spans="1:11">
      <c r="A152" s="13">
        <v>46241</v>
      </c>
      <c r="B152" s="2" t="s">
        <v>842</v>
      </c>
      <c r="C152" s="2" t="s">
        <v>1119</v>
      </c>
      <c r="D152" s="2" t="s">
        <v>1086</v>
      </c>
      <c r="E152" s="9">
        <v>20</v>
      </c>
      <c r="G152" s="9"/>
      <c r="I152" s="36" t="s">
        <v>1414</v>
      </c>
      <c r="J152" s="15" t="s">
        <v>1415</v>
      </c>
      <c r="K152" s="9"/>
    </row>
    <row r="153" s="2" customFormat="1" ht="15" customHeight="1" spans="1:11">
      <c r="A153" s="13">
        <v>46241</v>
      </c>
      <c r="B153" s="2" t="s">
        <v>842</v>
      </c>
      <c r="C153" s="2" t="s">
        <v>1119</v>
      </c>
      <c r="D153" s="2" t="s">
        <v>1079</v>
      </c>
      <c r="E153" s="9">
        <v>0.002</v>
      </c>
      <c r="G153" s="9"/>
      <c r="I153" s="37"/>
      <c r="J153" s="14"/>
      <c r="K153" s="9"/>
    </row>
    <row r="154" s="2" customFormat="1" ht="15" customHeight="1" spans="1:11">
      <c r="A154" s="13">
        <v>46241</v>
      </c>
      <c r="B154" s="2" t="s">
        <v>842</v>
      </c>
      <c r="C154" s="2" t="s">
        <v>1119</v>
      </c>
      <c r="D154" s="2" t="s">
        <v>1086</v>
      </c>
      <c r="E154" s="9">
        <v>20</v>
      </c>
      <c r="G154" s="9"/>
      <c r="I154" s="18" t="s">
        <v>1416</v>
      </c>
      <c r="J154" s="16" t="s">
        <v>1417</v>
      </c>
      <c r="K154" s="9"/>
    </row>
    <row r="155" s="2" customFormat="1" ht="15" customHeight="1" spans="1:11">
      <c r="A155" s="13">
        <v>46241</v>
      </c>
      <c r="B155" s="2" t="s">
        <v>842</v>
      </c>
      <c r="C155" s="2" t="s">
        <v>1119</v>
      </c>
      <c r="D155" s="2" t="s">
        <v>1086</v>
      </c>
      <c r="E155" s="9">
        <v>20</v>
      </c>
      <c r="G155" s="9"/>
      <c r="I155" s="18" t="s">
        <v>1418</v>
      </c>
      <c r="J155" s="16" t="s">
        <v>1419</v>
      </c>
      <c r="K155" s="9"/>
    </row>
    <row r="156" s="2" customFormat="1" ht="15" customHeight="1" spans="1:11">
      <c r="A156" s="13">
        <v>46241</v>
      </c>
      <c r="B156" s="2" t="s">
        <v>842</v>
      </c>
      <c r="C156" s="2" t="s">
        <v>1119</v>
      </c>
      <c r="D156" s="2" t="s">
        <v>1086</v>
      </c>
      <c r="E156" s="9">
        <v>20</v>
      </c>
      <c r="G156" s="9"/>
      <c r="H156" s="35"/>
      <c r="I156" s="18" t="s">
        <v>1420</v>
      </c>
      <c r="J156" s="16" t="s">
        <v>1421</v>
      </c>
      <c r="K156" s="9"/>
    </row>
    <row r="157" s="2" customFormat="1" ht="15" customHeight="1" spans="1:11">
      <c r="A157" s="13">
        <v>46241</v>
      </c>
      <c r="B157" s="2" t="s">
        <v>842</v>
      </c>
      <c r="C157" s="2" t="s">
        <v>1119</v>
      </c>
      <c r="D157" s="2" t="s">
        <v>1086</v>
      </c>
      <c r="E157" s="9">
        <v>20</v>
      </c>
      <c r="G157" s="9"/>
      <c r="I157" s="18" t="s">
        <v>1422</v>
      </c>
      <c r="J157" s="16" t="s">
        <v>1423</v>
      </c>
      <c r="K157" s="9"/>
    </row>
    <row r="158" s="2" customFormat="1" ht="15" customHeight="1" spans="1:11">
      <c r="A158" s="13">
        <v>46245</v>
      </c>
      <c r="B158" s="2" t="s">
        <v>1111</v>
      </c>
      <c r="C158" s="2" t="s">
        <v>1142</v>
      </c>
      <c r="D158" s="2" t="s">
        <v>1067</v>
      </c>
      <c r="E158" s="9">
        <v>27.5</v>
      </c>
      <c r="G158" s="9"/>
      <c r="I158" s="18"/>
      <c r="J158" s="16" t="s">
        <v>1424</v>
      </c>
      <c r="K158" s="9" t="s">
        <v>1386</v>
      </c>
    </row>
    <row r="159" s="2" customFormat="1" ht="15" customHeight="1" spans="1:11">
      <c r="A159" s="13">
        <v>46245</v>
      </c>
      <c r="B159" s="2" t="s">
        <v>1143</v>
      </c>
      <c r="C159" s="2" t="s">
        <v>1144</v>
      </c>
      <c r="D159" s="2" t="s">
        <v>1425</v>
      </c>
      <c r="E159" s="9">
        <v>20</v>
      </c>
      <c r="G159" s="9"/>
      <c r="I159" s="18" t="s">
        <v>1426</v>
      </c>
      <c r="J159" s="16" t="s">
        <v>1427</v>
      </c>
      <c r="K159" s="9"/>
    </row>
    <row r="160" s="2" customFormat="1" ht="15" customHeight="1" spans="1:11">
      <c r="A160" s="13">
        <v>46245</v>
      </c>
      <c r="B160" s="2" t="s">
        <v>1143</v>
      </c>
      <c r="C160" s="2" t="s">
        <v>1144</v>
      </c>
      <c r="D160" s="2" t="s">
        <v>1425</v>
      </c>
      <c r="E160" s="9">
        <v>20</v>
      </c>
      <c r="G160" s="9"/>
      <c r="I160" s="18" t="s">
        <v>1428</v>
      </c>
      <c r="J160" s="16" t="s">
        <v>1429</v>
      </c>
      <c r="K160" s="9"/>
    </row>
    <row r="161" s="2" customFormat="1" ht="15" customHeight="1" spans="1:11">
      <c r="A161" s="13">
        <v>46245</v>
      </c>
      <c r="B161" s="2" t="s">
        <v>1143</v>
      </c>
      <c r="C161" s="2" t="s">
        <v>1144</v>
      </c>
      <c r="D161" s="2" t="s">
        <v>1425</v>
      </c>
      <c r="E161" s="9">
        <v>20</v>
      </c>
      <c r="G161" s="9"/>
      <c r="I161" s="18" t="s">
        <v>1430</v>
      </c>
      <c r="J161" s="16" t="s">
        <v>1431</v>
      </c>
      <c r="K161" s="9"/>
    </row>
    <row r="162" s="2" customFormat="1" ht="15" customHeight="1" spans="1:11">
      <c r="A162" s="13">
        <v>46245</v>
      </c>
      <c r="B162" s="2" t="s">
        <v>1143</v>
      </c>
      <c r="C162" s="2" t="s">
        <v>1144</v>
      </c>
      <c r="D162" s="2" t="s">
        <v>1425</v>
      </c>
      <c r="E162" s="9">
        <v>20</v>
      </c>
      <c r="G162" s="9"/>
      <c r="I162" s="18" t="s">
        <v>1432</v>
      </c>
      <c r="J162" s="16" t="s">
        <v>1433</v>
      </c>
      <c r="K162" s="9"/>
    </row>
    <row r="163" s="2" customFormat="1" ht="15" customHeight="1" spans="1:11">
      <c r="A163" s="13">
        <v>46245</v>
      </c>
      <c r="B163" s="2" t="s">
        <v>1143</v>
      </c>
      <c r="C163" s="2" t="s">
        <v>1144</v>
      </c>
      <c r="D163" s="2" t="s">
        <v>1425</v>
      </c>
      <c r="E163" s="9">
        <v>20</v>
      </c>
      <c r="G163" s="9"/>
      <c r="I163" s="18" t="s">
        <v>1434</v>
      </c>
      <c r="J163" s="16" t="s">
        <v>1435</v>
      </c>
      <c r="K163" s="9"/>
    </row>
    <row r="164" s="2" customFormat="1" ht="15" customHeight="1" spans="1:11">
      <c r="A164" s="13">
        <v>46246</v>
      </c>
      <c r="B164" s="2" t="s">
        <v>1143</v>
      </c>
      <c r="C164" s="2" t="s">
        <v>1144</v>
      </c>
      <c r="D164" s="2" t="s">
        <v>1425</v>
      </c>
      <c r="E164" s="9">
        <v>20</v>
      </c>
      <c r="G164" s="9"/>
      <c r="I164" s="18" t="s">
        <v>1436</v>
      </c>
      <c r="J164" s="16" t="s">
        <v>1437</v>
      </c>
      <c r="K164" s="9"/>
    </row>
    <row r="165" s="2" customFormat="1" ht="15" customHeight="1" spans="1:11">
      <c r="A165" s="13">
        <v>46246</v>
      </c>
      <c r="B165" s="2" t="s">
        <v>1143</v>
      </c>
      <c r="C165" s="2" t="s">
        <v>1144</v>
      </c>
      <c r="D165" s="2" t="s">
        <v>1425</v>
      </c>
      <c r="E165" s="9">
        <v>20</v>
      </c>
      <c r="G165" s="9"/>
      <c r="I165" s="18" t="s">
        <v>1438</v>
      </c>
      <c r="J165" s="16" t="s">
        <v>1439</v>
      </c>
      <c r="K165" s="9"/>
    </row>
    <row r="166" s="2" customFormat="1" ht="15" customHeight="1" spans="1:11">
      <c r="A166" s="13">
        <v>46246</v>
      </c>
      <c r="B166" s="2" t="s">
        <v>1143</v>
      </c>
      <c r="C166" s="2" t="s">
        <v>1144</v>
      </c>
      <c r="D166" s="2" t="s">
        <v>1425</v>
      </c>
      <c r="E166" s="9">
        <v>20</v>
      </c>
      <c r="G166" s="9"/>
      <c r="I166" s="18" t="s">
        <v>1440</v>
      </c>
      <c r="J166" s="16" t="s">
        <v>1441</v>
      </c>
      <c r="K166" s="9"/>
    </row>
    <row r="167" s="2" customFormat="1" ht="15" customHeight="1" spans="1:11">
      <c r="A167" s="13">
        <v>46246</v>
      </c>
      <c r="B167" s="2" t="s">
        <v>1143</v>
      </c>
      <c r="C167" s="2" t="s">
        <v>1144</v>
      </c>
      <c r="D167" s="2" t="s">
        <v>1425</v>
      </c>
      <c r="E167" s="9">
        <v>20</v>
      </c>
      <c r="G167" s="9"/>
      <c r="I167" s="18" t="s">
        <v>1442</v>
      </c>
      <c r="J167" s="16" t="s">
        <v>1443</v>
      </c>
      <c r="K167" s="9"/>
    </row>
    <row r="168" s="2" customFormat="1" ht="15" customHeight="1" spans="1:11">
      <c r="A168" s="13">
        <v>46246</v>
      </c>
      <c r="B168" s="2" t="s">
        <v>1143</v>
      </c>
      <c r="C168" s="2" t="s">
        <v>1144</v>
      </c>
      <c r="D168" s="2" t="s">
        <v>1425</v>
      </c>
      <c r="E168" s="9">
        <v>20</v>
      </c>
      <c r="G168" s="9"/>
      <c r="I168" s="18" t="s">
        <v>1444</v>
      </c>
      <c r="J168" s="16" t="s">
        <v>1445</v>
      </c>
      <c r="K168" s="9"/>
    </row>
    <row r="169" s="2" customFormat="1" ht="15" customHeight="1" spans="1:11">
      <c r="A169" s="13">
        <v>46246</v>
      </c>
      <c r="B169" s="2" t="s">
        <v>1143</v>
      </c>
      <c r="C169" s="2" t="s">
        <v>1144</v>
      </c>
      <c r="D169" s="2" t="s">
        <v>1425</v>
      </c>
      <c r="E169" s="9">
        <v>20</v>
      </c>
      <c r="G169" s="9"/>
      <c r="I169" s="18" t="s">
        <v>1446</v>
      </c>
      <c r="J169" s="16" t="s">
        <v>1447</v>
      </c>
      <c r="K169" s="9"/>
    </row>
    <row r="170" s="2" customFormat="1" ht="15" customHeight="1" spans="1:11">
      <c r="A170" s="13">
        <v>46246</v>
      </c>
      <c r="B170" s="2" t="s">
        <v>1143</v>
      </c>
      <c r="C170" s="2" t="s">
        <v>1144</v>
      </c>
      <c r="D170" s="2" t="s">
        <v>1425</v>
      </c>
      <c r="E170" s="9">
        <v>20</v>
      </c>
      <c r="G170" s="9"/>
      <c r="I170" s="18" t="s">
        <v>1448</v>
      </c>
      <c r="J170" s="16" t="s">
        <v>1449</v>
      </c>
      <c r="K170" s="9"/>
    </row>
    <row r="171" s="2" customFormat="1" ht="15" customHeight="1" spans="1:11">
      <c r="A171" s="13">
        <v>46246</v>
      </c>
      <c r="B171" s="2" t="s">
        <v>1143</v>
      </c>
      <c r="C171" s="2" t="s">
        <v>1144</v>
      </c>
      <c r="D171" s="2" t="s">
        <v>1425</v>
      </c>
      <c r="E171" s="9">
        <v>20</v>
      </c>
      <c r="G171" s="9"/>
      <c r="I171" s="18" t="s">
        <v>1450</v>
      </c>
      <c r="J171" s="16" t="s">
        <v>1451</v>
      </c>
      <c r="K171" s="9"/>
    </row>
    <row r="172" s="2" customFormat="1" ht="15" customHeight="1" spans="1:11">
      <c r="A172" s="13">
        <v>46246</v>
      </c>
      <c r="B172" s="2" t="s">
        <v>1143</v>
      </c>
      <c r="C172" s="2" t="s">
        <v>1144</v>
      </c>
      <c r="D172" s="2" t="s">
        <v>1425</v>
      </c>
      <c r="E172" s="9">
        <v>20</v>
      </c>
      <c r="G172" s="9"/>
      <c r="I172" s="18" t="s">
        <v>1452</v>
      </c>
      <c r="J172" s="16" t="s">
        <v>1453</v>
      </c>
      <c r="K172" s="9"/>
    </row>
    <row r="173" s="2" customFormat="1" ht="15" customHeight="1" spans="1:11">
      <c r="A173" s="13">
        <v>46247</v>
      </c>
      <c r="B173" s="2" t="s">
        <v>833</v>
      </c>
      <c r="C173" s="2" t="s">
        <v>1454</v>
      </c>
      <c r="D173" s="2" t="s">
        <v>1067</v>
      </c>
      <c r="E173" s="9">
        <v>27.5</v>
      </c>
      <c r="G173" s="9"/>
      <c r="I173" s="18"/>
      <c r="J173" s="16" t="s">
        <v>1455</v>
      </c>
      <c r="K173" s="9" t="s">
        <v>1386</v>
      </c>
    </row>
    <row r="174" s="2" customFormat="1" ht="15" customHeight="1" spans="1:11">
      <c r="A174" s="13">
        <v>46247</v>
      </c>
      <c r="B174" s="2" t="s">
        <v>833</v>
      </c>
      <c r="C174" s="2" t="s">
        <v>1456</v>
      </c>
      <c r="D174" s="2" t="s">
        <v>1062</v>
      </c>
      <c r="E174" s="9">
        <v>27.5</v>
      </c>
      <c r="G174" s="9"/>
      <c r="I174" s="18"/>
      <c r="J174" s="16" t="s">
        <v>1457</v>
      </c>
      <c r="K174" s="9" t="s">
        <v>1386</v>
      </c>
    </row>
    <row r="175" s="2" customFormat="1" ht="14" customHeight="1" spans="1:11">
      <c r="A175" s="13">
        <v>46247</v>
      </c>
      <c r="B175" s="2" t="s">
        <v>1143</v>
      </c>
      <c r="C175" s="2" t="s">
        <v>1144</v>
      </c>
      <c r="D175" s="2" t="s">
        <v>1425</v>
      </c>
      <c r="E175" s="9">
        <v>20</v>
      </c>
      <c r="G175" s="9"/>
      <c r="I175" s="18" t="s">
        <v>1458</v>
      </c>
      <c r="J175" s="16" t="s">
        <v>1459</v>
      </c>
      <c r="K175" s="9"/>
    </row>
    <row r="176" s="2" customFormat="1" ht="14" customHeight="1" spans="1:11">
      <c r="A176" s="13">
        <v>46247</v>
      </c>
      <c r="B176" s="2" t="s">
        <v>1143</v>
      </c>
      <c r="C176" s="2" t="s">
        <v>1144</v>
      </c>
      <c r="D176" s="2" t="s">
        <v>1425</v>
      </c>
      <c r="E176" s="9">
        <v>20</v>
      </c>
      <c r="G176" s="9"/>
      <c r="I176" s="18" t="s">
        <v>1460</v>
      </c>
      <c r="J176" s="16" t="s">
        <v>1461</v>
      </c>
      <c r="K176" s="9"/>
    </row>
    <row r="177" s="2" customFormat="1" ht="14" customHeight="1" spans="1:11">
      <c r="A177" s="13">
        <v>46247</v>
      </c>
      <c r="B177" s="2" t="s">
        <v>1143</v>
      </c>
      <c r="C177" s="2" t="s">
        <v>1144</v>
      </c>
      <c r="D177" s="2" t="s">
        <v>1425</v>
      </c>
      <c r="E177" s="9">
        <v>20</v>
      </c>
      <c r="G177" s="9"/>
      <c r="I177" s="18" t="s">
        <v>1462</v>
      </c>
      <c r="J177" s="16" t="s">
        <v>1463</v>
      </c>
      <c r="K177" s="9"/>
    </row>
    <row r="178" s="2" customFormat="1" ht="14" customHeight="1" spans="1:11">
      <c r="A178" s="13">
        <v>46247</v>
      </c>
      <c r="B178" s="2" t="s">
        <v>1143</v>
      </c>
      <c r="C178" s="2" t="s">
        <v>1144</v>
      </c>
      <c r="D178" s="2" t="s">
        <v>1425</v>
      </c>
      <c r="E178" s="9">
        <v>20</v>
      </c>
      <c r="G178" s="9"/>
      <c r="I178" s="18" t="s">
        <v>1464</v>
      </c>
      <c r="J178" s="16" t="s">
        <v>1465</v>
      </c>
      <c r="K178" s="9"/>
    </row>
    <row r="179" s="2" customFormat="1" ht="14" customHeight="1" spans="1:11">
      <c r="A179" s="13">
        <v>46247</v>
      </c>
      <c r="B179" s="2" t="s">
        <v>1143</v>
      </c>
      <c r="C179" s="2" t="s">
        <v>1144</v>
      </c>
      <c r="D179" s="2" t="s">
        <v>1425</v>
      </c>
      <c r="E179" s="9">
        <v>20</v>
      </c>
      <c r="G179" s="9"/>
      <c r="I179" s="18" t="s">
        <v>1466</v>
      </c>
      <c r="J179" s="16" t="s">
        <v>1467</v>
      </c>
      <c r="K179" s="9"/>
    </row>
    <row r="180" s="2" customFormat="1" ht="13" customHeight="1" spans="1:11">
      <c r="A180" s="13">
        <v>46247</v>
      </c>
      <c r="B180" s="2" t="s">
        <v>1143</v>
      </c>
      <c r="C180" s="2" t="s">
        <v>1144</v>
      </c>
      <c r="D180" s="2" t="s">
        <v>1425</v>
      </c>
      <c r="E180" s="9">
        <v>20</v>
      </c>
      <c r="G180" s="9"/>
      <c r="I180" s="18" t="s">
        <v>1468</v>
      </c>
      <c r="J180" s="16" t="s">
        <v>1469</v>
      </c>
      <c r="K180" s="9"/>
    </row>
    <row r="181" s="2" customFormat="1" ht="14" customHeight="1" spans="1:11">
      <c r="A181" s="13">
        <v>46247</v>
      </c>
      <c r="B181" s="2" t="s">
        <v>1143</v>
      </c>
      <c r="C181" s="2" t="s">
        <v>1144</v>
      </c>
      <c r="D181" s="2" t="s">
        <v>1425</v>
      </c>
      <c r="E181" s="9">
        <v>20</v>
      </c>
      <c r="G181" s="9"/>
      <c r="I181" s="18" t="s">
        <v>1470</v>
      </c>
      <c r="J181" s="16" t="s">
        <v>1471</v>
      </c>
      <c r="K181" s="9"/>
    </row>
    <row r="182" s="2" customFormat="1" ht="14" customHeight="1" spans="1:11">
      <c r="A182" s="13">
        <v>46248</v>
      </c>
      <c r="B182" s="2" t="s">
        <v>1096</v>
      </c>
      <c r="C182" s="2" t="s">
        <v>1101</v>
      </c>
      <c r="D182" s="2" t="s">
        <v>1067</v>
      </c>
      <c r="E182" s="9">
        <v>27</v>
      </c>
      <c r="G182" s="9"/>
      <c r="I182" s="18"/>
      <c r="J182" s="16" t="s">
        <v>1472</v>
      </c>
      <c r="K182" s="9" t="s">
        <v>466</v>
      </c>
    </row>
    <row r="183" s="2" customFormat="1" ht="14" customHeight="1" spans="1:11">
      <c r="A183" s="13">
        <v>46248</v>
      </c>
      <c r="B183" s="2" t="s">
        <v>1096</v>
      </c>
      <c r="C183" s="2" t="s">
        <v>1150</v>
      </c>
      <c r="D183" s="2" t="s">
        <v>1067</v>
      </c>
      <c r="E183" s="9">
        <v>27</v>
      </c>
      <c r="G183" s="9"/>
      <c r="I183" s="18"/>
      <c r="J183" s="16" t="s">
        <v>1473</v>
      </c>
      <c r="K183" s="9" t="s">
        <v>466</v>
      </c>
    </row>
    <row r="184" s="2" customFormat="1" ht="14" customHeight="1" spans="1:11">
      <c r="A184" s="13">
        <v>46248</v>
      </c>
      <c r="B184" s="2" t="s">
        <v>1096</v>
      </c>
      <c r="C184" s="2" t="s">
        <v>1150</v>
      </c>
      <c r="D184" s="2" t="s">
        <v>1067</v>
      </c>
      <c r="E184" s="9">
        <v>27</v>
      </c>
      <c r="G184" s="9"/>
      <c r="I184" s="18"/>
      <c r="J184" s="16" t="s">
        <v>1474</v>
      </c>
      <c r="K184" s="9" t="s">
        <v>466</v>
      </c>
    </row>
    <row r="185" s="2" customFormat="1" ht="14" customHeight="1" spans="1:11">
      <c r="A185" s="13">
        <v>46248</v>
      </c>
      <c r="B185" s="2" t="s">
        <v>1096</v>
      </c>
      <c r="C185" s="2" t="s">
        <v>1150</v>
      </c>
      <c r="D185" s="2" t="s">
        <v>1067</v>
      </c>
      <c r="E185" s="9">
        <v>27</v>
      </c>
      <c r="G185" s="9"/>
      <c r="I185" s="18"/>
      <c r="J185" s="16" t="s">
        <v>1475</v>
      </c>
      <c r="K185" s="9" t="s">
        <v>466</v>
      </c>
    </row>
    <row r="186" s="2" customFormat="1" ht="14" customHeight="1" spans="1:11">
      <c r="A186" s="13">
        <v>46248</v>
      </c>
      <c r="B186" s="2" t="s">
        <v>1096</v>
      </c>
      <c r="C186" s="2" t="s">
        <v>1150</v>
      </c>
      <c r="D186" s="2" t="s">
        <v>1067</v>
      </c>
      <c r="E186" s="9">
        <v>27</v>
      </c>
      <c r="G186" s="9"/>
      <c r="I186" s="18"/>
      <c r="J186" s="16" t="s">
        <v>1476</v>
      </c>
      <c r="K186" s="9" t="s">
        <v>466</v>
      </c>
    </row>
    <row r="187" s="2" customFormat="1" ht="14" customHeight="1" spans="1:11">
      <c r="A187" s="13">
        <v>46252</v>
      </c>
      <c r="B187" s="2" t="s">
        <v>1477</v>
      </c>
      <c r="C187" s="2" t="s">
        <v>1148</v>
      </c>
      <c r="D187" s="2" t="s">
        <v>1413</v>
      </c>
      <c r="E187" s="9">
        <v>27.5</v>
      </c>
      <c r="G187" s="9"/>
      <c r="I187" s="18" t="s">
        <v>1478</v>
      </c>
      <c r="J187" s="16" t="s">
        <v>1337</v>
      </c>
      <c r="K187" s="9" t="s">
        <v>1230</v>
      </c>
    </row>
    <row r="188" s="2" customFormat="1" ht="14" customHeight="1" spans="1:11">
      <c r="A188" s="13">
        <v>46252</v>
      </c>
      <c r="B188" s="2" t="s">
        <v>1477</v>
      </c>
      <c r="C188" s="2" t="s">
        <v>1148</v>
      </c>
      <c r="D188" s="2" t="s">
        <v>1413</v>
      </c>
      <c r="E188" s="9">
        <v>27.5</v>
      </c>
      <c r="G188" s="9"/>
      <c r="I188" s="18" t="s">
        <v>1479</v>
      </c>
      <c r="J188" s="16" t="s">
        <v>1480</v>
      </c>
      <c r="K188" s="9" t="s">
        <v>1230</v>
      </c>
    </row>
    <row r="189" s="2" customFormat="1" ht="14" customHeight="1" spans="1:11">
      <c r="A189" s="13">
        <v>46253</v>
      </c>
      <c r="B189" s="2" t="s">
        <v>1481</v>
      </c>
      <c r="C189" s="2" t="s">
        <v>1146</v>
      </c>
      <c r="D189" s="2" t="s">
        <v>1413</v>
      </c>
      <c r="E189" s="9">
        <v>27.5</v>
      </c>
      <c r="G189" s="9"/>
      <c r="I189" s="18"/>
      <c r="J189" s="16" t="s">
        <v>1482</v>
      </c>
      <c r="K189" s="9" t="s">
        <v>1230</v>
      </c>
    </row>
    <row r="190" s="2" customFormat="1" ht="14" customHeight="1" spans="1:11">
      <c r="A190" s="13">
        <v>46253</v>
      </c>
      <c r="B190" s="2" t="s">
        <v>1481</v>
      </c>
      <c r="C190" s="2" t="s">
        <v>1146</v>
      </c>
      <c r="D190" s="2" t="s">
        <v>1413</v>
      </c>
      <c r="E190" s="9">
        <v>27.5</v>
      </c>
      <c r="G190" s="9"/>
      <c r="I190" s="18"/>
      <c r="J190" s="16" t="s">
        <v>1483</v>
      </c>
      <c r="K190" s="9" t="s">
        <v>1230</v>
      </c>
    </row>
    <row r="191" s="2" customFormat="1" ht="14" customHeight="1" spans="1:11">
      <c r="A191" s="13">
        <v>46253</v>
      </c>
      <c r="B191" s="2" t="s">
        <v>1481</v>
      </c>
      <c r="C191" s="2" t="s">
        <v>1146</v>
      </c>
      <c r="D191" s="2" t="s">
        <v>1413</v>
      </c>
      <c r="E191" s="9">
        <v>27.5</v>
      </c>
      <c r="G191" s="9"/>
      <c r="I191" s="18"/>
      <c r="J191" s="16" t="s">
        <v>1484</v>
      </c>
      <c r="K191" s="9" t="s">
        <v>1230</v>
      </c>
    </row>
    <row r="192" s="2" customFormat="1" ht="14" customHeight="1" spans="1:11">
      <c r="A192" s="13">
        <v>46253</v>
      </c>
      <c r="B192" s="2" t="s">
        <v>1481</v>
      </c>
      <c r="C192" s="2" t="s">
        <v>1146</v>
      </c>
      <c r="D192" s="2" t="s">
        <v>1413</v>
      </c>
      <c r="E192" s="9">
        <v>27.5</v>
      </c>
      <c r="G192" s="9"/>
      <c r="I192" s="18"/>
      <c r="J192" s="16" t="s">
        <v>1485</v>
      </c>
      <c r="K192" s="9" t="s">
        <v>1230</v>
      </c>
    </row>
    <row r="193" s="2" customFormat="1" ht="14" customHeight="1" spans="1:11">
      <c r="A193" s="13">
        <v>46253</v>
      </c>
      <c r="B193" s="2" t="s">
        <v>1152</v>
      </c>
      <c r="C193" s="2" t="s">
        <v>1153</v>
      </c>
      <c r="D193" s="2" t="s">
        <v>1067</v>
      </c>
      <c r="E193" s="9">
        <v>27.5</v>
      </c>
      <c r="G193" s="9"/>
      <c r="I193" s="18"/>
      <c r="J193" s="16" t="s">
        <v>1486</v>
      </c>
      <c r="K193" s="9" t="s">
        <v>1230</v>
      </c>
    </row>
    <row r="194" s="2" customFormat="1" ht="14" customHeight="1" spans="1:11">
      <c r="A194" s="13">
        <v>46255</v>
      </c>
      <c r="B194" s="2" t="s">
        <v>1140</v>
      </c>
      <c r="C194" s="2" t="s">
        <v>1141</v>
      </c>
      <c r="D194" s="2" t="s">
        <v>1067</v>
      </c>
      <c r="E194" s="9">
        <v>27.5</v>
      </c>
      <c r="G194" s="9"/>
      <c r="I194" s="18"/>
      <c r="J194" s="16" t="s">
        <v>1487</v>
      </c>
      <c r="K194" s="9" t="s">
        <v>1386</v>
      </c>
    </row>
    <row r="195" s="2" customFormat="1" ht="14" customHeight="1" spans="1:11">
      <c r="A195" s="13">
        <v>46256</v>
      </c>
      <c r="B195" s="2" t="s">
        <v>1096</v>
      </c>
      <c r="C195" s="2" t="s">
        <v>1101</v>
      </c>
      <c r="D195" s="2" t="s">
        <v>1067</v>
      </c>
      <c r="E195" s="9">
        <v>27</v>
      </c>
      <c r="G195" s="9"/>
      <c r="I195" s="18"/>
      <c r="J195" s="16" t="s">
        <v>1488</v>
      </c>
      <c r="K195" s="9" t="s">
        <v>466</v>
      </c>
    </row>
    <row r="196" s="2" customFormat="1" ht="14" customHeight="1" spans="1:11">
      <c r="A196" s="13">
        <v>46256</v>
      </c>
      <c r="B196" s="2" t="s">
        <v>1096</v>
      </c>
      <c r="C196" s="2" t="s">
        <v>1151</v>
      </c>
      <c r="D196" s="2" t="s">
        <v>1067</v>
      </c>
      <c r="E196" s="9">
        <v>27</v>
      </c>
      <c r="G196" s="9"/>
      <c r="I196" s="18"/>
      <c r="J196" s="16" t="s">
        <v>1489</v>
      </c>
      <c r="K196" s="9" t="s">
        <v>466</v>
      </c>
    </row>
    <row r="197" s="2" customFormat="1" ht="14" customHeight="1" spans="1:11">
      <c r="A197" s="13">
        <v>46257</v>
      </c>
      <c r="B197" s="2" t="s">
        <v>1096</v>
      </c>
      <c r="C197" s="2" t="s">
        <v>1151</v>
      </c>
      <c r="D197" s="2" t="s">
        <v>1067</v>
      </c>
      <c r="E197" s="9">
        <v>27</v>
      </c>
      <c r="G197" s="9"/>
      <c r="I197" s="18"/>
      <c r="J197" s="16" t="s">
        <v>1490</v>
      </c>
      <c r="K197" s="9" t="s">
        <v>466</v>
      </c>
    </row>
    <row r="198" s="2" customFormat="1" ht="14" customHeight="1" spans="1:11">
      <c r="A198" s="13">
        <v>46257</v>
      </c>
      <c r="B198" s="2" t="s">
        <v>1096</v>
      </c>
      <c r="C198" s="2" t="s">
        <v>1151</v>
      </c>
      <c r="D198" s="2" t="s">
        <v>1067</v>
      </c>
      <c r="E198" s="9">
        <v>27</v>
      </c>
      <c r="G198" s="9"/>
      <c r="I198" s="18"/>
      <c r="J198" s="16" t="s">
        <v>1491</v>
      </c>
      <c r="K198" s="9" t="s">
        <v>466</v>
      </c>
    </row>
    <row r="199" s="2" customFormat="1" ht="14" customHeight="1" spans="1:11">
      <c r="A199" s="13">
        <v>46257</v>
      </c>
      <c r="B199" s="2" t="s">
        <v>1096</v>
      </c>
      <c r="C199" s="2" t="s">
        <v>1151</v>
      </c>
      <c r="D199" s="2" t="s">
        <v>1067</v>
      </c>
      <c r="E199" s="9">
        <v>27</v>
      </c>
      <c r="G199" s="9"/>
      <c r="I199" s="18" t="s">
        <v>1492</v>
      </c>
      <c r="J199" s="16" t="s">
        <v>1493</v>
      </c>
      <c r="K199" s="9" t="s">
        <v>466</v>
      </c>
    </row>
    <row r="200" s="2" customFormat="1" ht="14" customHeight="1" spans="1:11">
      <c r="A200" s="13">
        <v>46260</v>
      </c>
      <c r="B200" s="2" t="s">
        <v>1143</v>
      </c>
      <c r="C200" s="2" t="s">
        <v>1162</v>
      </c>
      <c r="D200" s="2" t="s">
        <v>1086</v>
      </c>
      <c r="E200" s="9">
        <v>20</v>
      </c>
      <c r="G200" s="9"/>
      <c r="I200" s="18" t="s">
        <v>1494</v>
      </c>
      <c r="J200" s="16" t="s">
        <v>1495</v>
      </c>
      <c r="K200" s="9" t="s">
        <v>1386</v>
      </c>
    </row>
    <row r="201" s="2" customFormat="1" ht="14" customHeight="1" spans="1:11">
      <c r="A201" s="13">
        <v>46260</v>
      </c>
      <c r="B201" s="2" t="s">
        <v>1143</v>
      </c>
      <c r="C201" s="2" t="s">
        <v>1162</v>
      </c>
      <c r="D201" s="2" t="s">
        <v>1086</v>
      </c>
      <c r="E201" s="9">
        <v>20</v>
      </c>
      <c r="G201" s="9"/>
      <c r="I201" s="18" t="s">
        <v>1496</v>
      </c>
      <c r="J201" s="16" t="s">
        <v>1497</v>
      </c>
      <c r="K201" s="9" t="s">
        <v>1386</v>
      </c>
    </row>
    <row r="202" s="2" customFormat="1" ht="14" customHeight="1" spans="1:11">
      <c r="A202" s="13">
        <v>46260</v>
      </c>
      <c r="B202" s="2" t="s">
        <v>1143</v>
      </c>
      <c r="C202" s="2" t="s">
        <v>1162</v>
      </c>
      <c r="D202" s="2" t="s">
        <v>1086</v>
      </c>
      <c r="E202" s="9">
        <v>20</v>
      </c>
      <c r="G202" s="9"/>
      <c r="I202" s="18" t="s">
        <v>1498</v>
      </c>
      <c r="J202" s="16" t="s">
        <v>1499</v>
      </c>
      <c r="K202" s="9" t="s">
        <v>1386</v>
      </c>
    </row>
    <row r="203" s="2" customFormat="1" ht="14" customHeight="1" spans="1:11">
      <c r="A203" s="13">
        <v>46260</v>
      </c>
      <c r="B203" s="2" t="s">
        <v>1143</v>
      </c>
      <c r="C203" s="2" t="s">
        <v>1162</v>
      </c>
      <c r="D203" s="2" t="s">
        <v>1086</v>
      </c>
      <c r="E203" s="9">
        <v>20</v>
      </c>
      <c r="G203" s="9"/>
      <c r="I203" s="18" t="s">
        <v>1500</v>
      </c>
      <c r="J203" s="16" t="s">
        <v>1501</v>
      </c>
      <c r="K203" s="9" t="s">
        <v>1386</v>
      </c>
    </row>
    <row r="204" s="2" customFormat="1" ht="14" customHeight="1" spans="1:11">
      <c r="A204" s="13">
        <v>46260</v>
      </c>
      <c r="B204" s="2" t="s">
        <v>1143</v>
      </c>
      <c r="C204" s="2" t="s">
        <v>1162</v>
      </c>
      <c r="D204" s="2" t="s">
        <v>1086</v>
      </c>
      <c r="E204" s="9">
        <v>20</v>
      </c>
      <c r="G204" s="9"/>
      <c r="I204" s="18" t="s">
        <v>1502</v>
      </c>
      <c r="J204" s="16" t="s">
        <v>1503</v>
      </c>
      <c r="K204" s="9" t="s">
        <v>1386</v>
      </c>
    </row>
    <row r="205" s="2" customFormat="1" ht="14" customHeight="1" spans="1:11">
      <c r="A205" s="13">
        <v>46261</v>
      </c>
      <c r="B205" s="2" t="s">
        <v>1094</v>
      </c>
      <c r="C205" s="2" t="s">
        <v>1154</v>
      </c>
      <c r="D205" s="2" t="s">
        <v>1062</v>
      </c>
      <c r="E205" s="9">
        <v>28</v>
      </c>
      <c r="F205" s="2" t="s">
        <v>1504</v>
      </c>
      <c r="G205" s="9"/>
      <c r="I205" s="18" t="s">
        <v>1505</v>
      </c>
      <c r="J205" s="16" t="s">
        <v>1506</v>
      </c>
      <c r="K205" s="9" t="s">
        <v>1386</v>
      </c>
    </row>
    <row r="206" s="2" customFormat="1" ht="14" customHeight="1" spans="1:11">
      <c r="A206" s="13">
        <v>46261</v>
      </c>
      <c r="B206" s="2" t="s">
        <v>1094</v>
      </c>
      <c r="C206" s="2" t="s">
        <v>1154</v>
      </c>
      <c r="D206" s="2" t="s">
        <v>1062</v>
      </c>
      <c r="E206" s="9">
        <v>28</v>
      </c>
      <c r="F206" s="2" t="s">
        <v>1504</v>
      </c>
      <c r="G206" s="9"/>
      <c r="I206" s="18" t="s">
        <v>1507</v>
      </c>
      <c r="J206" s="16" t="s">
        <v>1508</v>
      </c>
      <c r="K206" s="9" t="s">
        <v>1386</v>
      </c>
    </row>
    <row r="207" s="2" customFormat="1" ht="14" customHeight="1" spans="1:11">
      <c r="A207" s="13">
        <v>46261</v>
      </c>
      <c r="B207" s="2" t="s">
        <v>1094</v>
      </c>
      <c r="C207" s="2" t="s">
        <v>1154</v>
      </c>
      <c r="D207" s="2" t="s">
        <v>1062</v>
      </c>
      <c r="E207" s="9">
        <v>28</v>
      </c>
      <c r="F207" s="2" t="s">
        <v>1504</v>
      </c>
      <c r="G207" s="9"/>
      <c r="I207" s="18" t="s">
        <v>1509</v>
      </c>
      <c r="J207" s="16" t="s">
        <v>1510</v>
      </c>
      <c r="K207" s="9" t="s">
        <v>1386</v>
      </c>
    </row>
    <row r="208" s="2" customFormat="1" ht="14" customHeight="1" spans="1:11">
      <c r="A208" s="13">
        <v>46261</v>
      </c>
      <c r="B208" s="2" t="s">
        <v>1094</v>
      </c>
      <c r="C208" s="2" t="s">
        <v>1157</v>
      </c>
      <c r="D208" s="2" t="s">
        <v>1062</v>
      </c>
      <c r="E208" s="9">
        <v>28</v>
      </c>
      <c r="F208" s="2" t="s">
        <v>1504</v>
      </c>
      <c r="G208" s="9"/>
      <c r="I208" s="18" t="s">
        <v>1511</v>
      </c>
      <c r="J208" s="16" t="s">
        <v>1512</v>
      </c>
      <c r="K208" s="9" t="s">
        <v>1386</v>
      </c>
    </row>
    <row r="209" s="2" customFormat="1" ht="11" customHeight="1" spans="1:11">
      <c r="A209" s="13">
        <v>46261</v>
      </c>
      <c r="B209" s="2" t="s">
        <v>1094</v>
      </c>
      <c r="C209" s="2" t="s">
        <v>1157</v>
      </c>
      <c r="D209" s="2" t="s">
        <v>1062</v>
      </c>
      <c r="E209" s="9">
        <v>28</v>
      </c>
      <c r="F209" s="2" t="s">
        <v>1504</v>
      </c>
      <c r="G209" s="9"/>
      <c r="I209" s="18" t="s">
        <v>1513</v>
      </c>
      <c r="J209" s="16" t="s">
        <v>1514</v>
      </c>
      <c r="K209" s="9" t="s">
        <v>1386</v>
      </c>
    </row>
    <row r="210" s="2" customFormat="1" ht="14" customHeight="1" spans="1:11">
      <c r="A210" s="13">
        <v>46261</v>
      </c>
      <c r="B210" s="2" t="s">
        <v>1094</v>
      </c>
      <c r="C210" s="2" t="s">
        <v>1157</v>
      </c>
      <c r="D210" s="2" t="s">
        <v>1062</v>
      </c>
      <c r="E210" s="9">
        <v>28</v>
      </c>
      <c r="F210" s="2" t="s">
        <v>1504</v>
      </c>
      <c r="G210" s="9"/>
      <c r="I210" s="18" t="s">
        <v>1515</v>
      </c>
      <c r="J210" s="16" t="s">
        <v>1516</v>
      </c>
      <c r="K210" s="9" t="s">
        <v>1386</v>
      </c>
    </row>
    <row r="211" s="2" customFormat="1" ht="14" customHeight="1" spans="1:11">
      <c r="A211" s="13">
        <v>46261</v>
      </c>
      <c r="B211" s="2" t="s">
        <v>1143</v>
      </c>
      <c r="C211" s="2" t="s">
        <v>1162</v>
      </c>
      <c r="D211" s="2" t="s">
        <v>1086</v>
      </c>
      <c r="E211" s="9">
        <v>20</v>
      </c>
      <c r="G211" s="9"/>
      <c r="I211" s="18" t="s">
        <v>1517</v>
      </c>
      <c r="J211" s="16" t="s">
        <v>1518</v>
      </c>
      <c r="K211" s="9" t="s">
        <v>1386</v>
      </c>
    </row>
    <row r="212" s="2" customFormat="1" ht="14" customHeight="1" spans="1:11">
      <c r="A212" s="13">
        <v>46261</v>
      </c>
      <c r="B212" s="2" t="s">
        <v>1143</v>
      </c>
      <c r="C212" s="2" t="s">
        <v>1162</v>
      </c>
      <c r="D212" s="2" t="s">
        <v>1086</v>
      </c>
      <c r="E212" s="9">
        <v>20</v>
      </c>
      <c r="G212" s="9"/>
      <c r="I212" s="18" t="s">
        <v>1519</v>
      </c>
      <c r="J212" s="16" t="s">
        <v>1520</v>
      </c>
      <c r="K212" s="9" t="s">
        <v>1386</v>
      </c>
    </row>
    <row r="213" s="2" customFormat="1" ht="14" customHeight="1" spans="1:11">
      <c r="A213" s="13">
        <v>46261</v>
      </c>
      <c r="B213" s="2" t="s">
        <v>1143</v>
      </c>
      <c r="C213" s="2" t="s">
        <v>1162</v>
      </c>
      <c r="D213" s="2" t="s">
        <v>1086</v>
      </c>
      <c r="E213" s="9">
        <v>20</v>
      </c>
      <c r="G213" s="9"/>
      <c r="I213" s="18" t="s">
        <v>1521</v>
      </c>
      <c r="J213" s="16" t="s">
        <v>1522</v>
      </c>
      <c r="K213" s="9" t="s">
        <v>1386</v>
      </c>
    </row>
    <row r="214" s="2" customFormat="1" ht="14" customHeight="1" spans="1:11">
      <c r="A214" s="13">
        <v>46261</v>
      </c>
      <c r="B214" s="2" t="s">
        <v>1143</v>
      </c>
      <c r="C214" s="2" t="s">
        <v>1162</v>
      </c>
      <c r="D214" s="2" t="s">
        <v>1086</v>
      </c>
      <c r="E214" s="9">
        <v>20</v>
      </c>
      <c r="G214" s="9"/>
      <c r="I214" s="18" t="s">
        <v>1523</v>
      </c>
      <c r="J214" s="16" t="s">
        <v>1524</v>
      </c>
      <c r="K214" s="9" t="s">
        <v>1386</v>
      </c>
    </row>
    <row r="215" s="2" customFormat="1" ht="14" customHeight="1" spans="1:11">
      <c r="A215" s="13">
        <v>46261</v>
      </c>
      <c r="B215" s="2" t="s">
        <v>1143</v>
      </c>
      <c r="C215" s="2" t="s">
        <v>1162</v>
      </c>
      <c r="D215" s="2" t="s">
        <v>1086</v>
      </c>
      <c r="E215" s="9">
        <v>20</v>
      </c>
      <c r="G215" s="9"/>
      <c r="I215" s="18" t="s">
        <v>1525</v>
      </c>
      <c r="J215" s="16" t="s">
        <v>1483</v>
      </c>
      <c r="K215" s="9" t="s">
        <v>1230</v>
      </c>
    </row>
    <row r="216" s="2" customFormat="1" ht="14" customHeight="1" spans="1:11">
      <c r="A216" s="13">
        <v>46261</v>
      </c>
      <c r="B216" s="2" t="s">
        <v>1143</v>
      </c>
      <c r="C216" s="2" t="s">
        <v>1162</v>
      </c>
      <c r="D216" s="2" t="s">
        <v>1086</v>
      </c>
      <c r="E216" s="9">
        <v>20</v>
      </c>
      <c r="G216" s="9"/>
      <c r="I216" s="18" t="s">
        <v>1526</v>
      </c>
      <c r="J216" s="16" t="s">
        <v>1527</v>
      </c>
      <c r="K216" s="9" t="s">
        <v>1230</v>
      </c>
    </row>
    <row r="217" s="2" customFormat="1" ht="14" customHeight="1" spans="1:11">
      <c r="A217" s="13">
        <v>46261</v>
      </c>
      <c r="B217" s="2" t="s">
        <v>1143</v>
      </c>
      <c r="C217" s="2" t="s">
        <v>1162</v>
      </c>
      <c r="D217" s="2" t="s">
        <v>1086</v>
      </c>
      <c r="E217" s="9">
        <v>20</v>
      </c>
      <c r="G217" s="9"/>
      <c r="I217" s="18" t="s">
        <v>1528</v>
      </c>
      <c r="J217" s="16" t="s">
        <v>1529</v>
      </c>
      <c r="K217" s="9" t="s">
        <v>1386</v>
      </c>
    </row>
    <row r="218" s="2" customFormat="1" ht="14" customHeight="1" spans="1:11">
      <c r="A218" s="13">
        <v>46262</v>
      </c>
      <c r="B218" s="2" t="s">
        <v>1530</v>
      </c>
      <c r="C218" s="2" t="s">
        <v>1163</v>
      </c>
      <c r="D218" s="2" t="s">
        <v>1059</v>
      </c>
      <c r="E218" s="9">
        <v>27.5</v>
      </c>
      <c r="G218" s="9"/>
      <c r="I218" s="18"/>
      <c r="J218" s="16" t="s">
        <v>1527</v>
      </c>
      <c r="K218" s="9" t="s">
        <v>1230</v>
      </c>
    </row>
    <row r="219" s="2" customFormat="1" ht="14" customHeight="1" spans="1:11">
      <c r="A219" s="13">
        <v>46262</v>
      </c>
      <c r="B219" s="2" t="s">
        <v>1530</v>
      </c>
      <c r="C219" s="2" t="s">
        <v>1163</v>
      </c>
      <c r="D219" s="2" t="s">
        <v>1059</v>
      </c>
      <c r="E219" s="9">
        <v>27.5</v>
      </c>
      <c r="G219" s="9"/>
      <c r="I219" s="18"/>
      <c r="J219" s="16" t="s">
        <v>1483</v>
      </c>
      <c r="K219" s="9" t="s">
        <v>1230</v>
      </c>
    </row>
    <row r="220" s="2" customFormat="1" ht="14" customHeight="1" spans="1:11">
      <c r="A220" s="13">
        <v>46262</v>
      </c>
      <c r="B220" s="2" t="s">
        <v>1530</v>
      </c>
      <c r="C220" s="2" t="s">
        <v>1163</v>
      </c>
      <c r="D220" s="2" t="s">
        <v>1059</v>
      </c>
      <c r="E220" s="9">
        <v>27.5</v>
      </c>
      <c r="G220" s="9"/>
      <c r="I220" s="18"/>
      <c r="J220" s="16" t="s">
        <v>1531</v>
      </c>
      <c r="K220" s="9" t="s">
        <v>1230</v>
      </c>
    </row>
    <row r="221" s="2" customFormat="1" ht="14" customHeight="1" spans="1:11">
      <c r="A221" s="13">
        <v>46262</v>
      </c>
      <c r="B221" s="2" t="s">
        <v>1115</v>
      </c>
      <c r="C221" s="2" t="s">
        <v>1168</v>
      </c>
      <c r="D221" s="2" t="s">
        <v>1067</v>
      </c>
      <c r="E221" s="9">
        <v>32</v>
      </c>
      <c r="G221" s="9"/>
      <c r="I221" s="18"/>
      <c r="J221" s="16" t="s">
        <v>1532</v>
      </c>
      <c r="K221" s="9" t="s">
        <v>550</v>
      </c>
    </row>
    <row r="222" s="2" customFormat="1" ht="14" customHeight="1" spans="1:11">
      <c r="A222" s="13">
        <v>46262</v>
      </c>
      <c r="B222" s="2" t="s">
        <v>1115</v>
      </c>
      <c r="C222" s="2" t="s">
        <v>1168</v>
      </c>
      <c r="D222" s="2" t="s">
        <v>1067</v>
      </c>
      <c r="E222" s="9">
        <v>32</v>
      </c>
      <c r="G222" s="9"/>
      <c r="I222" s="18"/>
      <c r="J222" s="16" t="s">
        <v>1533</v>
      </c>
      <c r="K222" s="9" t="s">
        <v>550</v>
      </c>
    </row>
    <row r="223" s="2" customFormat="1" ht="14" customHeight="1" spans="1:11">
      <c r="A223" s="13">
        <v>46263</v>
      </c>
      <c r="B223" s="2" t="s">
        <v>1143</v>
      </c>
      <c r="C223" s="2" t="s">
        <v>1162</v>
      </c>
      <c r="D223" s="2" t="s">
        <v>1089</v>
      </c>
      <c r="E223" s="9">
        <v>20</v>
      </c>
      <c r="G223" s="9"/>
      <c r="I223" s="18" t="s">
        <v>1534</v>
      </c>
      <c r="J223" s="16" t="s">
        <v>1531</v>
      </c>
      <c r="K223" s="9" t="s">
        <v>1230</v>
      </c>
    </row>
    <row r="224" s="2" customFormat="1" ht="14" customHeight="1" spans="1:11">
      <c r="A224" s="13">
        <v>46263</v>
      </c>
      <c r="B224" s="2" t="s">
        <v>1143</v>
      </c>
      <c r="C224" s="2" t="s">
        <v>1162</v>
      </c>
      <c r="D224" s="2" t="s">
        <v>1089</v>
      </c>
      <c r="E224" s="9">
        <v>20</v>
      </c>
      <c r="G224" s="9"/>
      <c r="I224" s="18" t="s">
        <v>1535</v>
      </c>
      <c r="J224" s="16" t="s">
        <v>1483</v>
      </c>
      <c r="K224" s="9" t="s">
        <v>1230</v>
      </c>
    </row>
    <row r="225" s="2" customFormat="1" ht="14" customHeight="1" spans="1:11">
      <c r="A225" s="13">
        <v>46263</v>
      </c>
      <c r="B225" s="2" t="s">
        <v>1530</v>
      </c>
      <c r="C225" s="2" t="s">
        <v>1163</v>
      </c>
      <c r="D225" s="2" t="s">
        <v>1062</v>
      </c>
      <c r="E225" s="9">
        <v>27.5</v>
      </c>
      <c r="G225" s="9"/>
      <c r="I225" s="18"/>
      <c r="J225" s="16" t="s">
        <v>1527</v>
      </c>
      <c r="K225" s="9" t="s">
        <v>1230</v>
      </c>
    </row>
    <row r="226" s="2" customFormat="1" ht="14" customHeight="1" spans="1:11">
      <c r="A226" s="13">
        <v>46263</v>
      </c>
      <c r="B226" s="2" t="s">
        <v>1001</v>
      </c>
      <c r="C226" s="2" t="s">
        <v>1165</v>
      </c>
      <c r="D226" s="2" t="s">
        <v>1059</v>
      </c>
      <c r="E226" s="9">
        <v>27.5</v>
      </c>
      <c r="G226" s="9"/>
      <c r="I226" s="18"/>
      <c r="J226" s="16" t="s">
        <v>1536</v>
      </c>
      <c r="K226" s="9" t="s">
        <v>1230</v>
      </c>
    </row>
    <row r="227" s="2" customFormat="1" ht="14" customHeight="1" spans="1:11">
      <c r="A227" s="13">
        <v>46263</v>
      </c>
      <c r="B227" s="2" t="s">
        <v>1166</v>
      </c>
      <c r="C227" s="2" t="s">
        <v>1167</v>
      </c>
      <c r="D227" s="2" t="s">
        <v>1059</v>
      </c>
      <c r="E227" s="9">
        <v>27</v>
      </c>
      <c r="G227" s="9"/>
      <c r="I227" s="18"/>
      <c r="J227" s="16" t="s">
        <v>1537</v>
      </c>
      <c r="K227" s="9" t="s">
        <v>1230</v>
      </c>
    </row>
    <row r="228" s="2" customFormat="1" ht="14" customHeight="1" spans="1:11">
      <c r="A228" s="13">
        <v>46264</v>
      </c>
      <c r="B228" s="2" t="s">
        <v>1158</v>
      </c>
      <c r="C228" s="2" t="s">
        <v>1159</v>
      </c>
      <c r="D228" s="2" t="s">
        <v>1062</v>
      </c>
      <c r="E228" s="9">
        <v>27.5</v>
      </c>
      <c r="G228" s="9"/>
      <c r="I228" s="18"/>
      <c r="J228" s="16" t="s">
        <v>1506</v>
      </c>
      <c r="K228" s="9" t="s">
        <v>1386</v>
      </c>
    </row>
    <row r="229" s="2" customFormat="1" ht="14" customHeight="1" spans="1:11">
      <c r="A229" s="13">
        <v>46264</v>
      </c>
      <c r="B229" s="2" t="s">
        <v>1158</v>
      </c>
      <c r="C229" s="2" t="s">
        <v>1159</v>
      </c>
      <c r="D229" s="2" t="s">
        <v>1062</v>
      </c>
      <c r="E229" s="9">
        <v>27.5</v>
      </c>
      <c r="G229" s="9"/>
      <c r="I229" s="18"/>
      <c r="J229" s="16" t="s">
        <v>1508</v>
      </c>
      <c r="K229" s="9" t="s">
        <v>1386</v>
      </c>
    </row>
    <row r="230" s="2" customFormat="1" ht="14" customHeight="1" spans="1:11">
      <c r="A230" s="13">
        <v>46264</v>
      </c>
      <c r="B230" s="2" t="s">
        <v>1158</v>
      </c>
      <c r="C230" s="2" t="s">
        <v>1159</v>
      </c>
      <c r="D230" s="2" t="s">
        <v>1062</v>
      </c>
      <c r="E230" s="9">
        <v>27.5</v>
      </c>
      <c r="G230" s="9"/>
      <c r="I230" s="18"/>
      <c r="J230" s="16" t="s">
        <v>1510</v>
      </c>
      <c r="K230" s="9" t="s">
        <v>1386</v>
      </c>
    </row>
    <row r="231" s="2" customFormat="1" ht="14" customHeight="1" spans="1:11">
      <c r="A231" s="13">
        <v>46264</v>
      </c>
      <c r="B231" s="2" t="s">
        <v>1143</v>
      </c>
      <c r="C231" s="2" t="s">
        <v>1162</v>
      </c>
      <c r="D231" s="2" t="s">
        <v>1089</v>
      </c>
      <c r="E231" s="9">
        <v>20</v>
      </c>
      <c r="F231" s="1"/>
      <c r="G231" s="1"/>
      <c r="H231" s="1"/>
      <c r="I231" s="38" t="s">
        <v>1538</v>
      </c>
      <c r="J231" s="38" t="s">
        <v>1531</v>
      </c>
      <c r="K231" s="9" t="s">
        <v>1230</v>
      </c>
    </row>
    <row r="232" s="2" customFormat="1" ht="14" customHeight="1" spans="1:11">
      <c r="A232" s="13">
        <v>46265</v>
      </c>
      <c r="B232" s="2" t="s">
        <v>1158</v>
      </c>
      <c r="C232" s="2" t="s">
        <v>1159</v>
      </c>
      <c r="D232" s="2" t="s">
        <v>1062</v>
      </c>
      <c r="E232" s="9">
        <v>27.5</v>
      </c>
      <c r="G232" s="9"/>
      <c r="I232" s="18" t="s">
        <v>1539</v>
      </c>
      <c r="J232" s="16" t="s">
        <v>1506</v>
      </c>
      <c r="K232" s="9" t="s">
        <v>1386</v>
      </c>
    </row>
    <row r="233" s="2" customFormat="1" ht="14" customHeight="1" spans="1:11">
      <c r="A233" s="13">
        <v>46265</v>
      </c>
      <c r="B233" s="2" t="s">
        <v>1158</v>
      </c>
      <c r="C233" s="2" t="s">
        <v>1159</v>
      </c>
      <c r="D233" s="2" t="s">
        <v>1062</v>
      </c>
      <c r="E233" s="9">
        <v>27.5</v>
      </c>
      <c r="G233" s="9"/>
      <c r="I233" s="18" t="s">
        <v>1540</v>
      </c>
      <c r="J233" s="16" t="s">
        <v>1510</v>
      </c>
      <c r="K233" s="9" t="s">
        <v>1386</v>
      </c>
    </row>
    <row r="234" s="2" customFormat="1" ht="14" customHeight="1" spans="1:11">
      <c r="A234" s="13">
        <v>46265</v>
      </c>
      <c r="B234" s="2" t="s">
        <v>1143</v>
      </c>
      <c r="C234" s="2" t="s">
        <v>1162</v>
      </c>
      <c r="D234" s="2" t="s">
        <v>1089</v>
      </c>
      <c r="E234" s="9">
        <v>20</v>
      </c>
      <c r="G234" s="9"/>
      <c r="I234" s="18" t="s">
        <v>1541</v>
      </c>
      <c r="J234" s="16" t="s">
        <v>1542</v>
      </c>
      <c r="K234" s="9" t="s">
        <v>1230</v>
      </c>
    </row>
    <row r="235" s="2" customFormat="1" ht="14" customHeight="1" spans="1:11">
      <c r="A235" s="13">
        <v>46265</v>
      </c>
      <c r="B235" s="2" t="s">
        <v>1143</v>
      </c>
      <c r="C235" s="2" t="s">
        <v>1162</v>
      </c>
      <c r="D235" s="2" t="s">
        <v>1089</v>
      </c>
      <c r="E235" s="9">
        <v>20</v>
      </c>
      <c r="G235" s="9"/>
      <c r="I235" s="18" t="s">
        <v>1543</v>
      </c>
      <c r="J235" s="16" t="s">
        <v>1544</v>
      </c>
      <c r="K235" s="9" t="s">
        <v>1230</v>
      </c>
    </row>
    <row r="236" s="2" customFormat="1" ht="14" customHeight="1" spans="1:11">
      <c r="A236" s="13">
        <v>46265</v>
      </c>
      <c r="B236" s="2" t="s">
        <v>1143</v>
      </c>
      <c r="C236" s="2" t="s">
        <v>1162</v>
      </c>
      <c r="D236" s="2" t="s">
        <v>1089</v>
      </c>
      <c r="E236" s="9">
        <v>20</v>
      </c>
      <c r="G236" s="9"/>
      <c r="I236" s="18" t="s">
        <v>1545</v>
      </c>
      <c r="J236" s="16" t="s">
        <v>1546</v>
      </c>
      <c r="K236" s="9" t="s">
        <v>1230</v>
      </c>
    </row>
    <row r="237" s="2" customFormat="1" ht="14" customHeight="1" spans="1:11">
      <c r="A237" s="13">
        <v>46265</v>
      </c>
      <c r="B237" s="2" t="s">
        <v>1143</v>
      </c>
      <c r="C237" s="2" t="s">
        <v>1162</v>
      </c>
      <c r="D237" s="2" t="s">
        <v>1089</v>
      </c>
      <c r="E237" s="9">
        <v>20</v>
      </c>
      <c r="G237" s="9"/>
      <c r="I237" s="18" t="s">
        <v>1547</v>
      </c>
      <c r="J237" s="16" t="s">
        <v>1548</v>
      </c>
      <c r="K237" s="9" t="s">
        <v>1230</v>
      </c>
    </row>
    <row r="238" s="2" customFormat="1" ht="14" customHeight="1" spans="1:11">
      <c r="A238" s="13">
        <v>46265</v>
      </c>
      <c r="B238" s="2" t="s">
        <v>1143</v>
      </c>
      <c r="C238" s="2" t="s">
        <v>1162</v>
      </c>
      <c r="D238" s="2" t="s">
        <v>1089</v>
      </c>
      <c r="E238" s="9">
        <v>20</v>
      </c>
      <c r="G238" s="9"/>
      <c r="I238" s="18" t="s">
        <v>1549</v>
      </c>
      <c r="J238" s="16" t="s">
        <v>1550</v>
      </c>
      <c r="K238" s="9" t="s">
        <v>1230</v>
      </c>
    </row>
    <row r="239" s="2" customFormat="1" ht="14" customHeight="1" spans="1:11">
      <c r="A239" s="13">
        <v>46265</v>
      </c>
      <c r="B239" s="2" t="s">
        <v>1001</v>
      </c>
      <c r="C239" s="2" t="s">
        <v>1165</v>
      </c>
      <c r="D239" s="2" t="s">
        <v>1062</v>
      </c>
      <c r="E239" s="9">
        <v>27.5</v>
      </c>
      <c r="G239" s="9"/>
      <c r="I239" s="18"/>
      <c r="J239" s="16" t="s">
        <v>1337</v>
      </c>
      <c r="K239" s="9" t="s">
        <v>1230</v>
      </c>
    </row>
    <row r="240" s="2" customFormat="1" ht="14" customHeight="1" spans="1:11">
      <c r="A240" s="13">
        <v>46265</v>
      </c>
      <c r="B240" s="2" t="s">
        <v>1158</v>
      </c>
      <c r="C240" s="2" t="s">
        <v>1159</v>
      </c>
      <c r="D240" s="2" t="s">
        <v>1062</v>
      </c>
      <c r="E240" s="9">
        <v>27.5</v>
      </c>
      <c r="G240" s="9"/>
      <c r="I240" s="18" t="s">
        <v>1551</v>
      </c>
      <c r="J240" s="16" t="s">
        <v>1506</v>
      </c>
      <c r="K240" s="9" t="s">
        <v>1386</v>
      </c>
    </row>
    <row r="241" s="2" customFormat="1" ht="14" customHeight="1" spans="1:11">
      <c r="A241" s="13">
        <v>46266</v>
      </c>
      <c r="B241" t="s">
        <v>1065</v>
      </c>
      <c r="C241" t="s">
        <v>1160</v>
      </c>
      <c r="D241" s="2" t="s">
        <v>1067</v>
      </c>
      <c r="E241" s="4">
        <v>27.5</v>
      </c>
      <c r="F241"/>
      <c r="G241"/>
      <c r="H241"/>
      <c r="I241"/>
      <c r="J241" s="39" t="s">
        <v>1552</v>
      </c>
      <c r="K241" t="s">
        <v>466</v>
      </c>
    </row>
    <row r="242" s="2" customFormat="1" ht="14" customHeight="1" spans="1:11">
      <c r="A242" s="13">
        <v>46266</v>
      </c>
      <c r="B242" s="2" t="s">
        <v>1143</v>
      </c>
      <c r="C242" s="2" t="s">
        <v>1161</v>
      </c>
      <c r="D242" s="2" t="s">
        <v>1077</v>
      </c>
      <c r="E242" s="9">
        <v>20</v>
      </c>
      <c r="G242" s="9"/>
      <c r="I242" s="18" t="s">
        <v>1553</v>
      </c>
      <c r="J242" s="16" t="s">
        <v>1554</v>
      </c>
      <c r="K242" s="9" t="s">
        <v>1230</v>
      </c>
    </row>
    <row r="243" s="2" customFormat="1" ht="14" customHeight="1" spans="1:11">
      <c r="A243" s="13">
        <v>46266</v>
      </c>
      <c r="B243" s="2" t="s">
        <v>1143</v>
      </c>
      <c r="C243" s="2" t="s">
        <v>1161</v>
      </c>
      <c r="D243" s="2" t="s">
        <v>1077</v>
      </c>
      <c r="E243" s="9">
        <v>20</v>
      </c>
      <c r="G243" s="9"/>
      <c r="I243" s="18" t="s">
        <v>1555</v>
      </c>
      <c r="J243" s="16" t="s">
        <v>1556</v>
      </c>
      <c r="K243" s="9" t="s">
        <v>1230</v>
      </c>
    </row>
    <row r="244" s="2" customFormat="1" ht="14" customHeight="1" spans="1:11">
      <c r="A244" s="13">
        <v>46266</v>
      </c>
      <c r="B244" s="2" t="s">
        <v>1143</v>
      </c>
      <c r="C244" s="2" t="s">
        <v>1161</v>
      </c>
      <c r="D244" s="2" t="s">
        <v>1077</v>
      </c>
      <c r="E244" s="9">
        <v>20</v>
      </c>
      <c r="G244" s="9"/>
      <c r="I244" s="18" t="s">
        <v>1557</v>
      </c>
      <c r="J244" s="16" t="s">
        <v>1558</v>
      </c>
      <c r="K244" s="9" t="s">
        <v>1230</v>
      </c>
    </row>
    <row r="245" s="2" customFormat="1" ht="14" customHeight="1" spans="1:11">
      <c r="A245" s="13">
        <v>46266</v>
      </c>
      <c r="B245" s="2" t="s">
        <v>1143</v>
      </c>
      <c r="C245" s="2" t="s">
        <v>1161</v>
      </c>
      <c r="D245" s="2" t="s">
        <v>1077</v>
      </c>
      <c r="E245" s="9">
        <v>20</v>
      </c>
      <c r="G245" s="9"/>
      <c r="I245" s="18" t="s">
        <v>1559</v>
      </c>
      <c r="J245" s="16" t="s">
        <v>1560</v>
      </c>
      <c r="K245" s="9" t="s">
        <v>1230</v>
      </c>
    </row>
    <row r="246" s="2" customFormat="1" ht="14" customHeight="1" spans="1:11">
      <c r="A246" s="13">
        <v>46266</v>
      </c>
      <c r="B246" s="2" t="s">
        <v>1143</v>
      </c>
      <c r="C246" s="2" t="s">
        <v>1161</v>
      </c>
      <c r="D246" s="2" t="s">
        <v>1077</v>
      </c>
      <c r="E246" s="9">
        <v>20</v>
      </c>
      <c r="G246" s="9"/>
      <c r="I246" s="18" t="s">
        <v>1561</v>
      </c>
      <c r="J246" s="16" t="s">
        <v>1562</v>
      </c>
      <c r="K246" s="9" t="s">
        <v>1230</v>
      </c>
    </row>
    <row r="247" s="2" customFormat="1" ht="14" customHeight="1" spans="1:11">
      <c r="A247" s="13">
        <v>46267</v>
      </c>
      <c r="B247" s="2" t="s">
        <v>1143</v>
      </c>
      <c r="C247" s="2" t="s">
        <v>1161</v>
      </c>
      <c r="D247" s="2" t="s">
        <v>1077</v>
      </c>
      <c r="E247" s="9">
        <v>20</v>
      </c>
      <c r="G247" s="9"/>
      <c r="I247" s="18" t="s">
        <v>1563</v>
      </c>
      <c r="J247" s="16" t="s">
        <v>1564</v>
      </c>
      <c r="K247" s="9" t="s">
        <v>1230</v>
      </c>
    </row>
    <row r="248" s="2" customFormat="1" ht="13" customHeight="1" spans="1:11">
      <c r="A248" s="13">
        <v>46267</v>
      </c>
      <c r="B248" s="2" t="s">
        <v>1143</v>
      </c>
      <c r="C248" s="2" t="s">
        <v>1161</v>
      </c>
      <c r="D248" s="2" t="s">
        <v>1077</v>
      </c>
      <c r="E248" s="9">
        <v>20</v>
      </c>
      <c r="G248" s="9"/>
      <c r="I248" s="18" t="s">
        <v>1565</v>
      </c>
      <c r="J248" s="16" t="s">
        <v>1566</v>
      </c>
      <c r="K248" s="9" t="s">
        <v>1230</v>
      </c>
    </row>
    <row r="249" s="2" customFormat="1" ht="14" customHeight="1" spans="1:11">
      <c r="A249" s="13">
        <v>46267</v>
      </c>
      <c r="B249" s="2" t="s">
        <v>1143</v>
      </c>
      <c r="C249" s="2" t="s">
        <v>1161</v>
      </c>
      <c r="D249" s="2" t="s">
        <v>1077</v>
      </c>
      <c r="E249" s="9">
        <v>20</v>
      </c>
      <c r="G249" s="9"/>
      <c r="I249" s="18" t="s">
        <v>1567</v>
      </c>
      <c r="J249" s="16" t="s">
        <v>1550</v>
      </c>
      <c r="K249" s="9" t="s">
        <v>1230</v>
      </c>
    </row>
    <row r="250" s="2" customFormat="1" ht="14" customHeight="1" spans="1:11">
      <c r="A250" s="13">
        <v>46267</v>
      </c>
      <c r="B250" s="2" t="s">
        <v>1143</v>
      </c>
      <c r="C250" s="2" t="s">
        <v>1161</v>
      </c>
      <c r="D250" s="2" t="s">
        <v>1077</v>
      </c>
      <c r="E250" s="9">
        <v>20</v>
      </c>
      <c r="G250" s="9"/>
      <c r="I250" s="18" t="s">
        <v>1568</v>
      </c>
      <c r="J250" s="16" t="s">
        <v>1569</v>
      </c>
      <c r="K250" s="9" t="s">
        <v>1230</v>
      </c>
    </row>
    <row r="251" s="2" customFormat="1" ht="14" customHeight="1" spans="1:11">
      <c r="A251" s="13">
        <v>46267</v>
      </c>
      <c r="B251" s="2" t="s">
        <v>1143</v>
      </c>
      <c r="C251" s="2" t="s">
        <v>1161</v>
      </c>
      <c r="D251" s="2" t="s">
        <v>1077</v>
      </c>
      <c r="E251" s="9">
        <v>20</v>
      </c>
      <c r="G251" s="9"/>
      <c r="I251" s="18" t="s">
        <v>1570</v>
      </c>
      <c r="J251" s="16" t="s">
        <v>1571</v>
      </c>
      <c r="K251" s="9" t="s">
        <v>1230</v>
      </c>
    </row>
    <row r="252" s="2" customFormat="1" ht="14" customHeight="1" spans="1:11">
      <c r="A252" s="13">
        <v>46268</v>
      </c>
      <c r="B252" s="2" t="s">
        <v>1143</v>
      </c>
      <c r="C252" s="2" t="s">
        <v>1162</v>
      </c>
      <c r="D252" s="2" t="s">
        <v>1089</v>
      </c>
      <c r="E252" s="9">
        <v>20</v>
      </c>
      <c r="G252" s="9"/>
      <c r="I252" s="18" t="s">
        <v>1572</v>
      </c>
      <c r="J252" s="16" t="s">
        <v>1573</v>
      </c>
      <c r="K252" s="9" t="s">
        <v>1386</v>
      </c>
    </row>
    <row r="253" s="2" customFormat="1" ht="14" customHeight="1" spans="1:11">
      <c r="A253" s="13">
        <v>46268</v>
      </c>
      <c r="B253" s="2" t="s">
        <v>1143</v>
      </c>
      <c r="C253" s="2" t="s">
        <v>1162</v>
      </c>
      <c r="D253" s="2" t="s">
        <v>1089</v>
      </c>
      <c r="E253" s="9">
        <v>20</v>
      </c>
      <c r="G253" s="9"/>
      <c r="I253" s="18" t="s">
        <v>1574</v>
      </c>
      <c r="J253" s="16" t="s">
        <v>1575</v>
      </c>
      <c r="K253" s="9" t="s">
        <v>1386</v>
      </c>
    </row>
    <row r="254" s="2" customFormat="1" ht="14" customHeight="1" spans="1:11">
      <c r="A254" s="13">
        <v>46268</v>
      </c>
      <c r="B254" s="2" t="s">
        <v>1143</v>
      </c>
      <c r="C254" s="2" t="s">
        <v>1162</v>
      </c>
      <c r="D254" s="2" t="s">
        <v>1089</v>
      </c>
      <c r="E254" s="9">
        <v>20</v>
      </c>
      <c r="G254" s="9"/>
      <c r="I254" s="18" t="s">
        <v>1576</v>
      </c>
      <c r="J254" s="16" t="s">
        <v>1577</v>
      </c>
      <c r="K254" s="9" t="s">
        <v>1386</v>
      </c>
    </row>
    <row r="255" s="2" customFormat="1" ht="14" customHeight="1" spans="1:11">
      <c r="A255" s="13">
        <v>46269</v>
      </c>
      <c r="B255" s="2" t="s">
        <v>1143</v>
      </c>
      <c r="C255" s="2" t="s">
        <v>1162</v>
      </c>
      <c r="D255" s="2" t="s">
        <v>1089</v>
      </c>
      <c r="E255" s="9">
        <v>20</v>
      </c>
      <c r="G255" s="9"/>
      <c r="I255" s="18" t="s">
        <v>1578</v>
      </c>
      <c r="J255" s="16" t="s">
        <v>1579</v>
      </c>
      <c r="K255" s="9" t="s">
        <v>1386</v>
      </c>
    </row>
    <row r="256" s="2" customFormat="1" ht="14" customHeight="1" spans="1:11">
      <c r="A256" s="13">
        <v>46269</v>
      </c>
      <c r="B256" s="2" t="s">
        <v>1143</v>
      </c>
      <c r="C256" s="2" t="s">
        <v>1162</v>
      </c>
      <c r="D256" s="2" t="s">
        <v>1089</v>
      </c>
      <c r="E256" s="9">
        <v>20</v>
      </c>
      <c r="G256" s="9"/>
      <c r="I256" s="18" t="s">
        <v>1580</v>
      </c>
      <c r="J256" s="16" t="s">
        <v>1581</v>
      </c>
      <c r="K256" s="9" t="s">
        <v>1386</v>
      </c>
    </row>
    <row r="257" s="2" customFormat="1" ht="14" customHeight="1" spans="1:11">
      <c r="A257" s="13">
        <v>46269</v>
      </c>
      <c r="B257" s="2" t="s">
        <v>1143</v>
      </c>
      <c r="C257" s="2" t="s">
        <v>1162</v>
      </c>
      <c r="D257" s="2" t="s">
        <v>1089</v>
      </c>
      <c r="E257" s="9">
        <v>20</v>
      </c>
      <c r="G257" s="9"/>
      <c r="I257" s="18" t="s">
        <v>1582</v>
      </c>
      <c r="J257" s="16" t="s">
        <v>1583</v>
      </c>
      <c r="K257" s="9" t="s">
        <v>1386</v>
      </c>
    </row>
    <row r="258" s="2" customFormat="1" ht="14" customHeight="1" spans="1:11">
      <c r="A258" s="13">
        <v>46270</v>
      </c>
      <c r="B258" s="2" t="s">
        <v>1143</v>
      </c>
      <c r="C258" s="2" t="s">
        <v>1162</v>
      </c>
      <c r="D258" s="2" t="s">
        <v>1089</v>
      </c>
      <c r="E258" s="9">
        <v>20</v>
      </c>
      <c r="G258" s="9"/>
      <c r="I258" s="18" t="s">
        <v>1584</v>
      </c>
      <c r="J258" s="16" t="s">
        <v>1585</v>
      </c>
      <c r="K258" s="9" t="s">
        <v>1386</v>
      </c>
    </row>
    <row r="259" s="2" customFormat="1" ht="14" customHeight="1" spans="1:11">
      <c r="A259" s="13">
        <v>46270</v>
      </c>
      <c r="B259" s="2" t="s">
        <v>1143</v>
      </c>
      <c r="C259" s="2" t="s">
        <v>1162</v>
      </c>
      <c r="D259" s="2" t="s">
        <v>1089</v>
      </c>
      <c r="E259" s="9">
        <v>20</v>
      </c>
      <c r="G259" s="9"/>
      <c r="I259" s="18" t="s">
        <v>1586</v>
      </c>
      <c r="J259" s="16" t="s">
        <v>1587</v>
      </c>
      <c r="K259" s="9" t="s">
        <v>1386</v>
      </c>
    </row>
    <row r="260" s="2" customFormat="1" ht="14" customHeight="1" spans="1:11">
      <c r="A260" s="13">
        <v>46270</v>
      </c>
      <c r="B260" s="2" t="s">
        <v>1143</v>
      </c>
      <c r="C260" s="2" t="s">
        <v>1162</v>
      </c>
      <c r="D260" s="2" t="s">
        <v>1089</v>
      </c>
      <c r="E260" s="9">
        <v>20</v>
      </c>
      <c r="G260" s="9"/>
      <c r="I260" s="18" t="s">
        <v>1588</v>
      </c>
      <c r="J260" s="16" t="s">
        <v>1589</v>
      </c>
      <c r="K260" s="9" t="s">
        <v>1386</v>
      </c>
    </row>
    <row r="261" s="2" customFormat="1" ht="14" customHeight="1" spans="1:11">
      <c r="A261" s="13">
        <v>46270</v>
      </c>
      <c r="B261" s="2" t="s">
        <v>1143</v>
      </c>
      <c r="C261" s="2" t="s">
        <v>1162</v>
      </c>
      <c r="D261" s="2" t="s">
        <v>1089</v>
      </c>
      <c r="E261" s="9">
        <v>20</v>
      </c>
      <c r="G261" s="9"/>
      <c r="I261" s="18" t="s">
        <v>1590</v>
      </c>
      <c r="J261" s="16" t="s">
        <v>1591</v>
      </c>
      <c r="K261" s="9" t="s">
        <v>1386</v>
      </c>
    </row>
    <row r="262" s="2" customFormat="1" ht="14" customHeight="1" spans="1:11">
      <c r="A262" s="13">
        <v>46275</v>
      </c>
      <c r="B262" s="2" t="s">
        <v>1171</v>
      </c>
      <c r="C262" s="2" t="s">
        <v>1172</v>
      </c>
      <c r="D262" s="2" t="s">
        <v>1064</v>
      </c>
      <c r="E262" s="9">
        <v>1</v>
      </c>
      <c r="G262" s="9"/>
      <c r="I262" s="18"/>
      <c r="J262" s="16" t="s">
        <v>1592</v>
      </c>
      <c r="K262" s="9"/>
    </row>
    <row r="263" s="2" customFormat="1" ht="14" customHeight="1" spans="1:11">
      <c r="A263" s="13">
        <v>46277</v>
      </c>
      <c r="B263" s="2" t="s">
        <v>1152</v>
      </c>
      <c r="C263" s="2" t="s">
        <v>1169</v>
      </c>
      <c r="D263" s="2" t="s">
        <v>1067</v>
      </c>
      <c r="E263" s="34">
        <v>27.5</v>
      </c>
      <c r="G263" s="9"/>
      <c r="I263" s="18"/>
      <c r="J263" s="16" t="s">
        <v>1593</v>
      </c>
      <c r="K263" s="9" t="s">
        <v>466</v>
      </c>
    </row>
    <row r="264" s="2" customFormat="1" ht="14" customHeight="1" spans="1:11">
      <c r="A264" s="13">
        <v>46278</v>
      </c>
      <c r="B264" s="2" t="s">
        <v>1065</v>
      </c>
      <c r="C264" s="2" t="s">
        <v>1170</v>
      </c>
      <c r="D264" s="2" t="s">
        <v>1067</v>
      </c>
      <c r="E264" s="34">
        <v>27.5</v>
      </c>
      <c r="G264" s="9"/>
      <c r="I264" s="18"/>
      <c r="J264" s="16" t="s">
        <v>1594</v>
      </c>
      <c r="K264" s="9" t="s">
        <v>466</v>
      </c>
    </row>
    <row r="265" s="2" customFormat="1" ht="14" customHeight="1" spans="1:11">
      <c r="A265" s="13">
        <v>46279</v>
      </c>
      <c r="B265" s="2" t="s">
        <v>1143</v>
      </c>
      <c r="C265" s="2" t="s">
        <v>1162</v>
      </c>
      <c r="D265" s="2" t="s">
        <v>1089</v>
      </c>
      <c r="E265" s="9">
        <v>20</v>
      </c>
      <c r="G265" s="9"/>
      <c r="I265" s="18" t="s">
        <v>1595</v>
      </c>
      <c r="J265" s="16" t="s">
        <v>1483</v>
      </c>
      <c r="K265" s="9" t="s">
        <v>1230</v>
      </c>
    </row>
    <row r="266" s="2" customFormat="1" ht="14" customHeight="1" spans="1:11">
      <c r="A266" s="13">
        <v>46279</v>
      </c>
      <c r="B266" s="2" t="s">
        <v>1143</v>
      </c>
      <c r="C266" s="2" t="s">
        <v>1162</v>
      </c>
      <c r="D266" s="2" t="s">
        <v>1089</v>
      </c>
      <c r="E266" s="9">
        <v>20</v>
      </c>
      <c r="G266" s="9"/>
      <c r="I266" s="18" t="s">
        <v>1596</v>
      </c>
      <c r="J266" s="16" t="s">
        <v>1531</v>
      </c>
      <c r="K266" s="9" t="s">
        <v>1230</v>
      </c>
    </row>
    <row r="267" s="2" customFormat="1" ht="14" customHeight="1" spans="1:11">
      <c r="A267" s="13">
        <v>46281</v>
      </c>
      <c r="B267" s="2" t="s">
        <v>1143</v>
      </c>
      <c r="C267" s="2" t="s">
        <v>1162</v>
      </c>
      <c r="D267" s="2" t="s">
        <v>1089</v>
      </c>
      <c r="E267" s="9">
        <v>20</v>
      </c>
      <c r="G267" s="9"/>
      <c r="I267" s="18" t="s">
        <v>1597</v>
      </c>
      <c r="J267" s="16" t="s">
        <v>1412</v>
      </c>
      <c r="K267" s="9" t="s">
        <v>1230</v>
      </c>
    </row>
    <row r="268" s="2" customFormat="1" ht="14" customHeight="1" spans="1:11">
      <c r="A268" s="13">
        <v>46281</v>
      </c>
      <c r="B268" s="2" t="s">
        <v>1143</v>
      </c>
      <c r="C268" s="2" t="s">
        <v>1162</v>
      </c>
      <c r="D268" s="2" t="s">
        <v>1089</v>
      </c>
      <c r="E268" s="9">
        <v>20</v>
      </c>
      <c r="G268" s="9"/>
      <c r="I268" s="18" t="s">
        <v>1598</v>
      </c>
      <c r="J268" s="16" t="s">
        <v>1531</v>
      </c>
      <c r="K268" s="9" t="s">
        <v>1230</v>
      </c>
    </row>
    <row r="269" s="2" customFormat="1" ht="14" customHeight="1" spans="1:11">
      <c r="A269" s="13">
        <v>46281</v>
      </c>
      <c r="B269" s="2" t="s">
        <v>1143</v>
      </c>
      <c r="C269" s="2" t="s">
        <v>1162</v>
      </c>
      <c r="D269" s="2" t="s">
        <v>1089</v>
      </c>
      <c r="E269" s="9">
        <v>20</v>
      </c>
      <c r="G269" s="9"/>
      <c r="I269" s="18" t="s">
        <v>1599</v>
      </c>
      <c r="J269" s="16" t="s">
        <v>1600</v>
      </c>
      <c r="K269" s="9" t="s">
        <v>1230</v>
      </c>
    </row>
    <row r="270" s="2" customFormat="1" ht="14" customHeight="1" spans="1:11">
      <c r="A270" s="13">
        <v>46282</v>
      </c>
      <c r="B270" s="2" t="s">
        <v>1143</v>
      </c>
      <c r="C270" s="2" t="s">
        <v>1162</v>
      </c>
      <c r="D270" s="2" t="s">
        <v>1086</v>
      </c>
      <c r="E270" s="9">
        <v>20</v>
      </c>
      <c r="G270" s="9"/>
      <c r="I270" s="18" t="s">
        <v>1601</v>
      </c>
      <c r="J270" s="16" t="s">
        <v>1483</v>
      </c>
      <c r="K270" s="9" t="s">
        <v>1230</v>
      </c>
    </row>
    <row r="271" s="2" customFormat="1" ht="14" customHeight="1" spans="1:11">
      <c r="A271" s="13">
        <v>46283</v>
      </c>
      <c r="B271" s="2" t="s">
        <v>1143</v>
      </c>
      <c r="C271" s="2" t="s">
        <v>1162</v>
      </c>
      <c r="D271" s="2" t="s">
        <v>1086</v>
      </c>
      <c r="E271" s="9">
        <v>20</v>
      </c>
      <c r="G271" s="9"/>
      <c r="I271" s="18" t="s">
        <v>1602</v>
      </c>
      <c r="J271" s="16" t="s">
        <v>1603</v>
      </c>
      <c r="K271" s="9" t="s">
        <v>1230</v>
      </c>
    </row>
    <row r="272" s="2" customFormat="1" ht="14" customHeight="1" spans="1:11">
      <c r="A272" s="13">
        <v>46283</v>
      </c>
      <c r="B272" s="2" t="s">
        <v>1143</v>
      </c>
      <c r="C272" s="2" t="s">
        <v>1162</v>
      </c>
      <c r="D272" s="2" t="s">
        <v>1086</v>
      </c>
      <c r="E272" s="9">
        <v>20</v>
      </c>
      <c r="G272" s="9"/>
      <c r="I272" s="18" t="s">
        <v>1604</v>
      </c>
      <c r="J272" s="16" t="s">
        <v>1605</v>
      </c>
      <c r="K272" s="9" t="s">
        <v>1230</v>
      </c>
    </row>
    <row r="273" s="2" customFormat="1" ht="14" customHeight="1" spans="1:11">
      <c r="A273" s="13">
        <v>46283</v>
      </c>
      <c r="B273" s="2" t="s">
        <v>1143</v>
      </c>
      <c r="C273" s="2" t="s">
        <v>1162</v>
      </c>
      <c r="D273" s="2" t="s">
        <v>1086</v>
      </c>
      <c r="E273" s="9">
        <v>20</v>
      </c>
      <c r="G273" s="9"/>
      <c r="I273" s="18" t="s">
        <v>1606</v>
      </c>
      <c r="J273" s="16" t="s">
        <v>1607</v>
      </c>
      <c r="K273" s="9" t="s">
        <v>1230</v>
      </c>
    </row>
    <row r="274" s="2" customFormat="1" ht="14" customHeight="1" spans="1:11">
      <c r="A274" s="13">
        <v>46285</v>
      </c>
      <c r="B274" s="2" t="s">
        <v>1143</v>
      </c>
      <c r="C274" s="2" t="s">
        <v>1162</v>
      </c>
      <c r="D274" s="2" t="s">
        <v>1086</v>
      </c>
      <c r="E274" s="9">
        <v>20</v>
      </c>
      <c r="G274" s="9"/>
      <c r="I274" s="18" t="s">
        <v>1608</v>
      </c>
      <c r="J274" s="16" t="s">
        <v>1609</v>
      </c>
      <c r="K274" s="9" t="s">
        <v>1230</v>
      </c>
    </row>
    <row r="275" s="2" customFormat="1" ht="14" customHeight="1" spans="1:11">
      <c r="A275" s="13">
        <v>46285</v>
      </c>
      <c r="B275" s="2" t="s">
        <v>1143</v>
      </c>
      <c r="C275" s="2" t="s">
        <v>1162</v>
      </c>
      <c r="D275" s="2" t="s">
        <v>1086</v>
      </c>
      <c r="E275" s="9">
        <v>20</v>
      </c>
      <c r="G275" s="9"/>
      <c r="I275" s="18" t="s">
        <v>1610</v>
      </c>
      <c r="J275" s="16" t="s">
        <v>1611</v>
      </c>
      <c r="K275" s="9" t="s">
        <v>1230</v>
      </c>
    </row>
    <row r="276" s="2" customFormat="1" ht="14" customHeight="1" spans="1:11">
      <c r="A276" s="13">
        <v>46285</v>
      </c>
      <c r="B276" s="2" t="s">
        <v>1143</v>
      </c>
      <c r="C276" s="2" t="s">
        <v>1162</v>
      </c>
      <c r="D276" s="2" t="s">
        <v>1086</v>
      </c>
      <c r="E276" s="9">
        <v>20</v>
      </c>
      <c r="G276" s="9"/>
      <c r="I276" s="18" t="s">
        <v>1612</v>
      </c>
      <c r="J276" s="16" t="s">
        <v>1613</v>
      </c>
      <c r="K276" s="9" t="s">
        <v>1230</v>
      </c>
    </row>
    <row r="277" s="2" customFormat="1" ht="14" customHeight="1" spans="1:11">
      <c r="A277" s="13">
        <v>46287</v>
      </c>
      <c r="B277" s="2" t="s">
        <v>1143</v>
      </c>
      <c r="C277" s="2" t="s">
        <v>1162</v>
      </c>
      <c r="D277" s="2" t="s">
        <v>1086</v>
      </c>
      <c r="E277" s="9">
        <v>20</v>
      </c>
      <c r="G277" s="9"/>
      <c r="I277" s="18" t="s">
        <v>1614</v>
      </c>
      <c r="J277" s="16" t="s">
        <v>1527</v>
      </c>
      <c r="K277" s="9" t="s">
        <v>1230</v>
      </c>
    </row>
    <row r="278" s="2" customFormat="1" ht="14" customHeight="1" spans="1:11">
      <c r="A278" s="13">
        <v>46287</v>
      </c>
      <c r="B278" s="2" t="s">
        <v>1143</v>
      </c>
      <c r="C278" s="2" t="s">
        <v>1162</v>
      </c>
      <c r="D278" s="2" t="s">
        <v>1086</v>
      </c>
      <c r="E278" s="9">
        <v>20</v>
      </c>
      <c r="G278" s="9"/>
      <c r="I278" s="18" t="s">
        <v>1615</v>
      </c>
      <c r="J278" s="16" t="s">
        <v>1531</v>
      </c>
      <c r="K278" s="9" t="s">
        <v>1230</v>
      </c>
    </row>
    <row r="279" s="2" customFormat="1" ht="14" customHeight="1" spans="1:11">
      <c r="A279" s="13">
        <v>46287</v>
      </c>
      <c r="B279" s="2" t="s">
        <v>1143</v>
      </c>
      <c r="C279" s="2" t="s">
        <v>1162</v>
      </c>
      <c r="D279" s="2" t="s">
        <v>1086</v>
      </c>
      <c r="E279" s="9">
        <v>20</v>
      </c>
      <c r="G279" s="9"/>
      <c r="I279" s="18" t="s">
        <v>1616</v>
      </c>
      <c r="J279" s="16" t="s">
        <v>1483</v>
      </c>
      <c r="K279" s="9" t="s">
        <v>1230</v>
      </c>
    </row>
    <row r="280" s="2" customFormat="1" ht="14" customHeight="1" spans="1:11">
      <c r="A280" s="13">
        <v>46287</v>
      </c>
      <c r="B280" s="2" t="s">
        <v>1143</v>
      </c>
      <c r="C280" s="2" t="s">
        <v>1162</v>
      </c>
      <c r="D280" s="2" t="s">
        <v>1086</v>
      </c>
      <c r="E280" s="9">
        <v>20</v>
      </c>
      <c r="G280" s="9"/>
      <c r="I280" s="18" t="s">
        <v>1617</v>
      </c>
      <c r="J280" s="16" t="s">
        <v>1618</v>
      </c>
      <c r="K280" s="9" t="s">
        <v>1230</v>
      </c>
    </row>
    <row r="281" s="2" customFormat="1" ht="14" customHeight="1" spans="1:11">
      <c r="A281" s="13">
        <v>46287</v>
      </c>
      <c r="B281" s="2" t="s">
        <v>1143</v>
      </c>
      <c r="C281" s="2" t="s">
        <v>1162</v>
      </c>
      <c r="D281" s="2" t="s">
        <v>1086</v>
      </c>
      <c r="E281" s="9">
        <v>20</v>
      </c>
      <c r="G281" s="9"/>
      <c r="I281" s="18" t="s">
        <v>1619</v>
      </c>
      <c r="J281" s="16" t="s">
        <v>1620</v>
      </c>
      <c r="K281" s="9" t="s">
        <v>1230</v>
      </c>
    </row>
    <row r="282" s="2" customFormat="1" ht="14" customHeight="1" spans="1:11">
      <c r="A282" s="13">
        <v>46287</v>
      </c>
      <c r="B282" s="2" t="s">
        <v>1143</v>
      </c>
      <c r="C282" s="2" t="s">
        <v>1162</v>
      </c>
      <c r="D282" s="2" t="s">
        <v>1086</v>
      </c>
      <c r="E282" s="9">
        <v>20</v>
      </c>
      <c r="G282" s="9"/>
      <c r="I282" s="18" t="s">
        <v>1621</v>
      </c>
      <c r="J282" s="16" t="s">
        <v>1412</v>
      </c>
      <c r="K282" s="9" t="s">
        <v>1230</v>
      </c>
    </row>
    <row r="283" s="2" customFormat="1" ht="14" customHeight="1" spans="1:11">
      <c r="A283" s="13">
        <v>46294</v>
      </c>
      <c r="B283" s="2" t="s">
        <v>1001</v>
      </c>
      <c r="C283" s="2" t="s">
        <v>1175</v>
      </c>
      <c r="D283" s="2" t="s">
        <v>1062</v>
      </c>
      <c r="E283" s="9">
        <v>27.5</v>
      </c>
      <c r="G283" s="9"/>
      <c r="I283" s="18" t="s">
        <v>1622</v>
      </c>
      <c r="J283" s="16" t="s">
        <v>1623</v>
      </c>
      <c r="K283" s="9" t="s">
        <v>1386</v>
      </c>
    </row>
    <row r="284" s="2" customFormat="1" ht="14" customHeight="1" spans="1:11">
      <c r="A284" s="13">
        <v>46294</v>
      </c>
      <c r="B284" s="2" t="s">
        <v>1001</v>
      </c>
      <c r="C284" s="2" t="s">
        <v>1175</v>
      </c>
      <c r="D284" s="2" t="s">
        <v>1062</v>
      </c>
      <c r="E284" s="9">
        <v>27.5</v>
      </c>
      <c r="G284" s="9"/>
      <c r="I284" s="18" t="s">
        <v>1624</v>
      </c>
      <c r="J284" s="16" t="s">
        <v>1625</v>
      </c>
      <c r="K284" s="9" t="s">
        <v>1386</v>
      </c>
    </row>
    <row r="285" s="2" customFormat="1" ht="14" customHeight="1" spans="1:11">
      <c r="A285" s="13">
        <v>46294</v>
      </c>
      <c r="B285" s="2" t="s">
        <v>1001</v>
      </c>
      <c r="C285" s="2" t="s">
        <v>1175</v>
      </c>
      <c r="D285" s="2" t="s">
        <v>1413</v>
      </c>
      <c r="E285" s="9">
        <v>27.5</v>
      </c>
      <c r="G285" s="9"/>
      <c r="I285" s="18" t="s">
        <v>1626</v>
      </c>
      <c r="J285" s="16" t="s">
        <v>1627</v>
      </c>
      <c r="K285" s="9" t="s">
        <v>1386</v>
      </c>
    </row>
    <row r="286" s="2" customFormat="1" ht="14" customHeight="1" spans="1:11">
      <c r="A286" s="13">
        <v>46294</v>
      </c>
      <c r="B286" s="2" t="s">
        <v>1001</v>
      </c>
      <c r="C286" s="2" t="s">
        <v>1175</v>
      </c>
      <c r="D286" s="2" t="s">
        <v>1413</v>
      </c>
      <c r="E286" s="9">
        <v>27.5</v>
      </c>
      <c r="G286" s="9"/>
      <c r="I286" s="18" t="s">
        <v>1628</v>
      </c>
      <c r="J286" s="16" t="s">
        <v>1629</v>
      </c>
      <c r="K286" s="9" t="s">
        <v>1386</v>
      </c>
    </row>
    <row r="287" s="2" customFormat="1" ht="14" customHeight="1" spans="1:11">
      <c r="A287" s="13">
        <v>46294</v>
      </c>
      <c r="B287" s="2" t="s">
        <v>1001</v>
      </c>
      <c r="C287" s="2" t="s">
        <v>1175</v>
      </c>
      <c r="D287" s="2" t="s">
        <v>1413</v>
      </c>
      <c r="E287" s="9">
        <v>27.5</v>
      </c>
      <c r="G287" s="9"/>
      <c r="I287" s="18" t="s">
        <v>1630</v>
      </c>
      <c r="J287" s="16" t="s">
        <v>1631</v>
      </c>
      <c r="K287" s="9" t="s">
        <v>1386</v>
      </c>
    </row>
    <row r="288" s="2" customFormat="1" ht="14" customHeight="1" spans="1:11">
      <c r="A288" s="13">
        <v>46294</v>
      </c>
      <c r="B288" s="2" t="s">
        <v>1001</v>
      </c>
      <c r="C288" s="2" t="s">
        <v>1175</v>
      </c>
      <c r="D288" s="2" t="s">
        <v>1413</v>
      </c>
      <c r="E288" s="9">
        <v>27.5</v>
      </c>
      <c r="G288" s="9"/>
      <c r="I288" s="18" t="s">
        <v>1632</v>
      </c>
      <c r="J288" s="16" t="s">
        <v>1633</v>
      </c>
      <c r="K288" s="9" t="s">
        <v>1386</v>
      </c>
    </row>
    <row r="289" s="2" customFormat="1" ht="14" customHeight="1" spans="1:11">
      <c r="A289" s="13">
        <v>46307</v>
      </c>
      <c r="B289" s="2" t="s">
        <v>1176</v>
      </c>
      <c r="C289" s="2" t="s">
        <v>1177</v>
      </c>
      <c r="D289" s="2" t="s">
        <v>1062</v>
      </c>
      <c r="E289" s="9">
        <v>27.5</v>
      </c>
      <c r="G289" s="9"/>
      <c r="I289" s="18" t="s">
        <v>1634</v>
      </c>
      <c r="J289" s="16" t="s">
        <v>1635</v>
      </c>
      <c r="K289" s="9" t="s">
        <v>1386</v>
      </c>
    </row>
    <row r="290" s="2" customFormat="1" ht="14" customHeight="1" spans="1:11">
      <c r="A290" s="13">
        <v>46307</v>
      </c>
      <c r="B290" s="2" t="s">
        <v>1176</v>
      </c>
      <c r="C290" s="2" t="s">
        <v>1177</v>
      </c>
      <c r="D290" s="2" t="s">
        <v>1062</v>
      </c>
      <c r="E290" s="9">
        <v>27.5</v>
      </c>
      <c r="G290" s="9"/>
      <c r="I290" s="18" t="s">
        <v>1636</v>
      </c>
      <c r="J290" s="16" t="s">
        <v>1637</v>
      </c>
      <c r="K290" s="9" t="s">
        <v>1386</v>
      </c>
    </row>
    <row r="291" s="2" customFormat="1" ht="14" customHeight="1" spans="1:11">
      <c r="A291" s="13">
        <v>46307</v>
      </c>
      <c r="B291" s="2" t="s">
        <v>1178</v>
      </c>
      <c r="C291" s="2" t="s">
        <v>1179</v>
      </c>
      <c r="D291" s="2" t="s">
        <v>1059</v>
      </c>
      <c r="E291" s="9">
        <v>13.5</v>
      </c>
      <c r="G291" s="9"/>
      <c r="I291" s="19" t="s">
        <v>1638</v>
      </c>
      <c r="J291" s="15" t="s">
        <v>1639</v>
      </c>
      <c r="K291" s="12" t="s">
        <v>1386</v>
      </c>
    </row>
    <row r="292" s="2" customFormat="1" ht="14" customHeight="1" spans="1:11">
      <c r="A292" s="13">
        <v>46307</v>
      </c>
      <c r="B292" s="2" t="s">
        <v>1178</v>
      </c>
      <c r="C292" s="2" t="s">
        <v>1179</v>
      </c>
      <c r="D292" s="2" t="s">
        <v>1062</v>
      </c>
      <c r="E292" s="9">
        <v>14</v>
      </c>
      <c r="G292" s="9"/>
      <c r="I292" s="14"/>
      <c r="J292" s="14"/>
      <c r="K292" s="8"/>
    </row>
    <row r="293" s="2" customFormat="1" ht="14" customHeight="1" spans="1:11">
      <c r="A293" s="13">
        <v>46308</v>
      </c>
      <c r="B293" s="2" t="s">
        <v>1176</v>
      </c>
      <c r="C293" s="2" t="s">
        <v>1640</v>
      </c>
      <c r="D293" s="2" t="s">
        <v>1062</v>
      </c>
      <c r="E293" s="9">
        <v>27.5</v>
      </c>
      <c r="G293" s="9"/>
      <c r="I293" s="14" t="s">
        <v>1641</v>
      </c>
      <c r="J293" s="14" t="s">
        <v>1642</v>
      </c>
      <c r="K293" s="8" t="s">
        <v>1386</v>
      </c>
    </row>
    <row r="294" s="2" customFormat="1" ht="14" customHeight="1" spans="1:11">
      <c r="A294" s="13">
        <v>46308</v>
      </c>
      <c r="B294" s="2" t="s">
        <v>1176</v>
      </c>
      <c r="C294" s="2" t="s">
        <v>1640</v>
      </c>
      <c r="D294" s="2" t="s">
        <v>1062</v>
      </c>
      <c r="E294" s="9">
        <v>27.5</v>
      </c>
      <c r="G294" s="9"/>
      <c r="I294" s="14" t="s">
        <v>1643</v>
      </c>
      <c r="J294" s="14" t="s">
        <v>1644</v>
      </c>
      <c r="K294" s="8" t="s">
        <v>1386</v>
      </c>
    </row>
    <row r="295" s="2" customFormat="1" ht="14" customHeight="1" spans="1:11">
      <c r="A295" s="13">
        <v>46309</v>
      </c>
      <c r="B295" s="2" t="s">
        <v>1096</v>
      </c>
      <c r="C295" s="2" t="s">
        <v>1180</v>
      </c>
      <c r="D295" s="2" t="s">
        <v>1067</v>
      </c>
      <c r="E295" s="9">
        <v>27</v>
      </c>
      <c r="G295" s="9"/>
      <c r="I295" s="14"/>
      <c r="J295" s="14" t="s">
        <v>1645</v>
      </c>
      <c r="K295" s="8" t="s">
        <v>466</v>
      </c>
    </row>
    <row r="296" s="2" customFormat="1" ht="14" customHeight="1" spans="1:11">
      <c r="A296" s="13">
        <v>46309</v>
      </c>
      <c r="B296" s="2" t="s">
        <v>1096</v>
      </c>
      <c r="C296" s="2" t="s">
        <v>1180</v>
      </c>
      <c r="D296" s="2" t="s">
        <v>1067</v>
      </c>
      <c r="E296" s="9">
        <v>27</v>
      </c>
      <c r="G296" s="9"/>
      <c r="I296" s="14"/>
      <c r="J296" s="14" t="s">
        <v>1646</v>
      </c>
      <c r="K296" s="8" t="s">
        <v>466</v>
      </c>
    </row>
    <row r="297" s="2" customFormat="1" ht="14" customHeight="1" spans="1:11">
      <c r="A297" s="13">
        <v>46309</v>
      </c>
      <c r="B297" s="2" t="s">
        <v>1096</v>
      </c>
      <c r="C297" s="2" t="s">
        <v>1180</v>
      </c>
      <c r="D297" s="2" t="s">
        <v>1067</v>
      </c>
      <c r="E297" s="9">
        <v>27</v>
      </c>
      <c r="G297" s="9"/>
      <c r="I297" s="14"/>
      <c r="J297" s="14" t="s">
        <v>1647</v>
      </c>
      <c r="K297" s="8" t="s">
        <v>466</v>
      </c>
    </row>
    <row r="298" s="2" customFormat="1" ht="14" customHeight="1" spans="1:11">
      <c r="A298" s="13">
        <v>46309</v>
      </c>
      <c r="B298" s="2" t="s">
        <v>1096</v>
      </c>
      <c r="C298" s="2" t="s">
        <v>1181</v>
      </c>
      <c r="D298" s="2" t="s">
        <v>1064</v>
      </c>
      <c r="E298" s="9">
        <v>27</v>
      </c>
      <c r="G298" s="9"/>
      <c r="I298" s="14"/>
      <c r="J298" s="14" t="s">
        <v>1648</v>
      </c>
      <c r="K298" s="8" t="s">
        <v>466</v>
      </c>
    </row>
    <row r="299" s="2" customFormat="1" ht="14" customHeight="1" spans="1:11">
      <c r="A299" s="13">
        <v>46309</v>
      </c>
      <c r="B299" s="2" t="s">
        <v>1143</v>
      </c>
      <c r="C299" s="2" t="s">
        <v>1183</v>
      </c>
      <c r="D299" s="2" t="s">
        <v>1089</v>
      </c>
      <c r="E299" s="9">
        <v>20</v>
      </c>
      <c r="G299" s="9"/>
      <c r="I299" s="14" t="s">
        <v>1649</v>
      </c>
      <c r="J299" s="14" t="s">
        <v>1650</v>
      </c>
      <c r="K299" s="8" t="s">
        <v>466</v>
      </c>
    </row>
    <row r="300" s="2" customFormat="1" ht="14" customHeight="1" spans="1:11">
      <c r="A300" s="13">
        <v>46309</v>
      </c>
      <c r="B300" s="2" t="s">
        <v>1143</v>
      </c>
      <c r="C300" s="2" t="s">
        <v>1183</v>
      </c>
      <c r="D300" s="2" t="s">
        <v>1089</v>
      </c>
      <c r="E300" s="9">
        <v>20</v>
      </c>
      <c r="G300" s="9"/>
      <c r="I300" s="14" t="s">
        <v>1651</v>
      </c>
      <c r="J300" s="14" t="s">
        <v>1652</v>
      </c>
      <c r="K300" s="8" t="s">
        <v>466</v>
      </c>
    </row>
    <row r="301" s="2" customFormat="1" ht="14" customHeight="1" spans="1:11">
      <c r="A301" s="13">
        <v>46309</v>
      </c>
      <c r="B301" s="2" t="s">
        <v>1143</v>
      </c>
      <c r="C301" s="2" t="s">
        <v>1183</v>
      </c>
      <c r="D301" s="2" t="s">
        <v>1089</v>
      </c>
      <c r="E301" s="9">
        <v>20</v>
      </c>
      <c r="G301" s="9"/>
      <c r="I301" s="14" t="s">
        <v>1653</v>
      </c>
      <c r="J301" s="14" t="s">
        <v>1654</v>
      </c>
      <c r="K301" s="8" t="s">
        <v>466</v>
      </c>
    </row>
    <row r="302" s="2" customFormat="1" ht="14" customHeight="1" spans="1:11">
      <c r="A302" s="13">
        <v>46310</v>
      </c>
      <c r="B302" s="2" t="s">
        <v>1143</v>
      </c>
      <c r="C302" s="2" t="s">
        <v>1183</v>
      </c>
      <c r="D302" s="2" t="s">
        <v>1089</v>
      </c>
      <c r="E302" s="9">
        <v>20</v>
      </c>
      <c r="G302" s="9"/>
      <c r="I302" s="14" t="s">
        <v>1655</v>
      </c>
      <c r="J302" s="14" t="s">
        <v>1656</v>
      </c>
      <c r="K302" s="8" t="s">
        <v>466</v>
      </c>
    </row>
    <row r="303" s="2" customFormat="1" ht="14" customHeight="1" spans="1:11">
      <c r="A303" s="13">
        <v>46310</v>
      </c>
      <c r="B303" s="2" t="s">
        <v>1143</v>
      </c>
      <c r="C303" s="2" t="s">
        <v>1183</v>
      </c>
      <c r="D303" s="2" t="s">
        <v>1089</v>
      </c>
      <c r="E303" s="9">
        <v>20</v>
      </c>
      <c r="G303" s="9"/>
      <c r="I303" s="14" t="s">
        <v>1657</v>
      </c>
      <c r="J303" s="14" t="s">
        <v>1654</v>
      </c>
      <c r="K303" s="8" t="s">
        <v>466</v>
      </c>
    </row>
    <row r="304" s="2" customFormat="1" ht="14" customHeight="1" spans="1:11">
      <c r="A304" s="13">
        <v>46310</v>
      </c>
      <c r="B304" s="2" t="s">
        <v>1143</v>
      </c>
      <c r="C304" s="2" t="s">
        <v>1183</v>
      </c>
      <c r="D304" s="2" t="s">
        <v>1089</v>
      </c>
      <c r="E304" s="9">
        <v>20</v>
      </c>
      <c r="G304" s="9"/>
      <c r="I304" s="14" t="s">
        <v>1658</v>
      </c>
      <c r="J304" s="14" t="s">
        <v>1659</v>
      </c>
      <c r="K304" s="8" t="s">
        <v>466</v>
      </c>
    </row>
    <row r="305" s="2" customFormat="1" ht="14" customHeight="1" spans="1:11">
      <c r="A305" s="13">
        <v>46310</v>
      </c>
      <c r="B305" s="2" t="s">
        <v>1143</v>
      </c>
      <c r="C305" s="2" t="s">
        <v>1183</v>
      </c>
      <c r="D305" s="2" t="s">
        <v>1089</v>
      </c>
      <c r="E305" s="9">
        <v>20</v>
      </c>
      <c r="G305" s="9"/>
      <c r="I305" s="14" t="s">
        <v>1660</v>
      </c>
      <c r="J305" s="14" t="s">
        <v>1661</v>
      </c>
      <c r="K305" s="8" t="s">
        <v>466</v>
      </c>
    </row>
    <row r="306" s="2" customFormat="1" ht="14" customHeight="1" spans="1:11">
      <c r="A306" s="13">
        <v>46310</v>
      </c>
      <c r="B306" s="2" t="s">
        <v>1143</v>
      </c>
      <c r="C306" s="2" t="s">
        <v>1183</v>
      </c>
      <c r="D306" s="2" t="s">
        <v>1089</v>
      </c>
      <c r="E306" s="9">
        <v>20</v>
      </c>
      <c r="G306" s="9"/>
      <c r="I306" s="14" t="s">
        <v>1662</v>
      </c>
      <c r="J306" s="14" t="s">
        <v>1663</v>
      </c>
      <c r="K306" s="8" t="s">
        <v>466</v>
      </c>
    </row>
    <row r="307" s="2" customFormat="1" ht="14" customHeight="1" spans="1:11">
      <c r="A307" s="13">
        <v>46310</v>
      </c>
      <c r="B307" s="2" t="s">
        <v>1143</v>
      </c>
      <c r="C307" s="2" t="s">
        <v>1183</v>
      </c>
      <c r="D307" s="2" t="s">
        <v>1089</v>
      </c>
      <c r="E307" s="9">
        <v>20</v>
      </c>
      <c r="G307" s="9"/>
      <c r="I307" s="14" t="s">
        <v>1664</v>
      </c>
      <c r="J307" s="14" t="s">
        <v>1665</v>
      </c>
      <c r="K307" s="8" t="s">
        <v>466</v>
      </c>
    </row>
    <row r="308" s="2" customFormat="1" ht="14" customHeight="1" spans="1:11">
      <c r="A308" s="13">
        <v>46311</v>
      </c>
      <c r="B308" s="2" t="s">
        <v>1143</v>
      </c>
      <c r="C308" s="2" t="s">
        <v>1183</v>
      </c>
      <c r="D308" s="2" t="s">
        <v>1089</v>
      </c>
      <c r="E308" s="9">
        <v>20</v>
      </c>
      <c r="G308" s="9"/>
      <c r="I308" s="14" t="s">
        <v>1666</v>
      </c>
      <c r="J308" s="14" t="s">
        <v>1667</v>
      </c>
      <c r="K308" s="8" t="s">
        <v>466</v>
      </c>
    </row>
    <row r="309" s="2" customFormat="1" ht="14" customHeight="1" spans="1:11">
      <c r="A309" s="13">
        <v>46311</v>
      </c>
      <c r="B309" s="2" t="s">
        <v>1143</v>
      </c>
      <c r="C309" s="2" t="s">
        <v>1183</v>
      </c>
      <c r="D309" s="2" t="s">
        <v>1089</v>
      </c>
      <c r="E309" s="9">
        <v>20</v>
      </c>
      <c r="G309" s="9"/>
      <c r="I309" s="14" t="s">
        <v>1668</v>
      </c>
      <c r="J309" s="14" t="s">
        <v>1669</v>
      </c>
      <c r="K309" s="8" t="s">
        <v>466</v>
      </c>
    </row>
    <row r="310" s="2" customFormat="1" ht="14" customHeight="1" spans="1:11">
      <c r="A310" s="13">
        <v>46311</v>
      </c>
      <c r="B310" s="2" t="s">
        <v>1143</v>
      </c>
      <c r="C310" s="2" t="s">
        <v>1183</v>
      </c>
      <c r="D310" s="2" t="s">
        <v>1086</v>
      </c>
      <c r="E310" s="9">
        <v>20</v>
      </c>
      <c r="G310" s="9"/>
      <c r="I310" s="14" t="s">
        <v>1670</v>
      </c>
      <c r="J310" s="14" t="s">
        <v>1671</v>
      </c>
      <c r="K310" s="8" t="s">
        <v>466</v>
      </c>
    </row>
    <row r="311" s="2" customFormat="1" ht="14" customHeight="1" spans="1:11">
      <c r="A311" s="13">
        <v>46311</v>
      </c>
      <c r="B311" s="2" t="s">
        <v>1143</v>
      </c>
      <c r="C311" s="2" t="s">
        <v>1183</v>
      </c>
      <c r="D311" s="2" t="s">
        <v>1086</v>
      </c>
      <c r="E311" s="9">
        <v>20</v>
      </c>
      <c r="G311" s="9"/>
      <c r="I311" s="14" t="s">
        <v>1672</v>
      </c>
      <c r="J311" s="14" t="s">
        <v>1663</v>
      </c>
      <c r="K311" s="8" t="s">
        <v>466</v>
      </c>
    </row>
    <row r="312" s="2" customFormat="1" ht="14" customHeight="1" spans="1:11">
      <c r="A312" s="13">
        <v>46311</v>
      </c>
      <c r="B312" s="2" t="s">
        <v>1143</v>
      </c>
      <c r="C312" s="2" t="s">
        <v>1183</v>
      </c>
      <c r="D312" s="2" t="s">
        <v>1086</v>
      </c>
      <c r="E312" s="9">
        <v>20</v>
      </c>
      <c r="G312" s="9"/>
      <c r="I312" s="14" t="s">
        <v>1673</v>
      </c>
      <c r="J312" s="14" t="s">
        <v>1674</v>
      </c>
      <c r="K312" s="8" t="s">
        <v>466</v>
      </c>
    </row>
    <row r="313" s="2" customFormat="1" ht="14" customHeight="1" spans="1:11">
      <c r="A313" s="13">
        <v>46311</v>
      </c>
      <c r="B313" s="2" t="s">
        <v>1143</v>
      </c>
      <c r="C313" s="2" t="s">
        <v>1183</v>
      </c>
      <c r="D313" s="2" t="s">
        <v>1086</v>
      </c>
      <c r="E313" s="9">
        <v>20</v>
      </c>
      <c r="G313" s="9"/>
      <c r="I313" s="14" t="s">
        <v>1675</v>
      </c>
      <c r="J313" s="14" t="s">
        <v>1676</v>
      </c>
      <c r="K313" s="8" t="s">
        <v>466</v>
      </c>
    </row>
    <row r="314" s="2" customFormat="1" ht="14" customHeight="1" spans="1:11">
      <c r="A314" s="13">
        <v>46311</v>
      </c>
      <c r="B314" s="2" t="s">
        <v>1140</v>
      </c>
      <c r="C314" s="2" t="s">
        <v>1174</v>
      </c>
      <c r="D314" s="2" t="s">
        <v>1067</v>
      </c>
      <c r="E314" s="9">
        <v>27.5</v>
      </c>
      <c r="G314" s="9"/>
      <c r="I314" s="14"/>
      <c r="J314" s="14" t="s">
        <v>1677</v>
      </c>
      <c r="K314" s="8" t="s">
        <v>1386</v>
      </c>
    </row>
    <row r="315" s="2" customFormat="1" ht="14" customHeight="1" spans="1:11">
      <c r="A315" s="13">
        <v>46313</v>
      </c>
      <c r="B315" s="2" t="s">
        <v>1176</v>
      </c>
      <c r="C315" s="2" t="s">
        <v>1678</v>
      </c>
      <c r="D315" s="2" t="s">
        <v>1062</v>
      </c>
      <c r="E315" s="9">
        <v>27.5</v>
      </c>
      <c r="G315" s="9"/>
      <c r="I315" s="14"/>
      <c r="J315" s="14" t="s">
        <v>1459</v>
      </c>
      <c r="K315" s="8" t="s">
        <v>1386</v>
      </c>
    </row>
    <row r="316" s="2" customFormat="1" ht="14" customHeight="1" spans="1:11">
      <c r="A316" s="13">
        <v>46313</v>
      </c>
      <c r="B316" s="2" t="s">
        <v>1176</v>
      </c>
      <c r="C316" s="2" t="s">
        <v>1678</v>
      </c>
      <c r="D316" s="2" t="s">
        <v>1062</v>
      </c>
      <c r="E316" s="9">
        <v>27.5</v>
      </c>
      <c r="G316" s="9"/>
      <c r="I316" s="14"/>
      <c r="J316" s="14" t="s">
        <v>1679</v>
      </c>
      <c r="K316" s="8" t="s">
        <v>1386</v>
      </c>
    </row>
    <row r="317" s="2" customFormat="1" ht="14" customHeight="1" spans="1:11">
      <c r="A317" s="13">
        <v>46313</v>
      </c>
      <c r="B317" s="2" t="s">
        <v>1176</v>
      </c>
      <c r="C317" s="2" t="s">
        <v>1678</v>
      </c>
      <c r="D317" s="2" t="s">
        <v>1062</v>
      </c>
      <c r="E317" s="9">
        <v>27.5</v>
      </c>
      <c r="G317" s="9"/>
      <c r="I317" s="14"/>
      <c r="J317" s="14" t="s">
        <v>1680</v>
      </c>
      <c r="K317" s="8" t="s">
        <v>1386</v>
      </c>
    </row>
    <row r="318" s="2" customFormat="1" ht="14" customHeight="1" spans="1:11">
      <c r="A318" s="13">
        <v>46313</v>
      </c>
      <c r="B318" s="2" t="s">
        <v>1176</v>
      </c>
      <c r="C318" s="2" t="s">
        <v>1678</v>
      </c>
      <c r="D318" s="2" t="s">
        <v>1062</v>
      </c>
      <c r="E318" s="9">
        <v>27.5</v>
      </c>
      <c r="G318" s="9"/>
      <c r="I318" s="14"/>
      <c r="J318" s="14" t="s">
        <v>1681</v>
      </c>
      <c r="K318" s="8" t="s">
        <v>1386</v>
      </c>
    </row>
    <row r="319" s="2" customFormat="1" ht="14" customHeight="1" spans="1:11">
      <c r="A319" s="13">
        <v>46314</v>
      </c>
      <c r="B319" s="2" t="s">
        <v>1178</v>
      </c>
      <c r="C319" s="2" t="s">
        <v>1179</v>
      </c>
      <c r="D319" s="2" t="s">
        <v>1413</v>
      </c>
      <c r="E319" s="9">
        <v>27.5</v>
      </c>
      <c r="G319" s="9"/>
      <c r="I319" s="14"/>
      <c r="J319" s="14" t="s">
        <v>1682</v>
      </c>
      <c r="K319" s="8" t="s">
        <v>1386</v>
      </c>
    </row>
    <row r="320" s="2" customFormat="1" ht="14" customHeight="1" spans="1:11">
      <c r="A320" s="13">
        <v>46314</v>
      </c>
      <c r="B320" s="2" t="s">
        <v>1178</v>
      </c>
      <c r="C320" s="2" t="s">
        <v>1179</v>
      </c>
      <c r="D320" s="2" t="s">
        <v>1413</v>
      </c>
      <c r="E320" s="9">
        <v>27.5</v>
      </c>
      <c r="G320" s="9"/>
      <c r="I320" s="14"/>
      <c r="J320" s="14" t="s">
        <v>1683</v>
      </c>
      <c r="K320" s="8" t="s">
        <v>1386</v>
      </c>
    </row>
    <row r="321" s="2" customFormat="1" ht="14" customHeight="1" spans="1:11">
      <c r="A321" s="13">
        <v>46314</v>
      </c>
      <c r="B321" s="2" t="s">
        <v>1176</v>
      </c>
      <c r="C321" s="2" t="s">
        <v>1640</v>
      </c>
      <c r="D321" s="2" t="s">
        <v>1413</v>
      </c>
      <c r="E321" s="9">
        <v>27.5</v>
      </c>
      <c r="G321" s="9"/>
      <c r="I321" s="14"/>
      <c r="J321" s="14" t="s">
        <v>1684</v>
      </c>
      <c r="K321" s="8" t="s">
        <v>1386</v>
      </c>
    </row>
    <row r="322" s="2" customFormat="1" ht="14" customHeight="1" spans="1:11">
      <c r="A322" s="13">
        <v>46314</v>
      </c>
      <c r="B322" s="2" t="s">
        <v>1176</v>
      </c>
      <c r="C322" s="2" t="s">
        <v>1640</v>
      </c>
      <c r="D322" s="2" t="s">
        <v>1413</v>
      </c>
      <c r="E322" s="9">
        <v>27.5</v>
      </c>
      <c r="G322" s="9"/>
      <c r="I322" s="14"/>
      <c r="J322" s="14" t="s">
        <v>1685</v>
      </c>
      <c r="K322" s="8" t="s">
        <v>1386</v>
      </c>
    </row>
    <row r="323" s="2" customFormat="1" ht="14" customHeight="1" spans="1:11">
      <c r="A323" s="13">
        <v>46314</v>
      </c>
      <c r="B323" s="2" t="s">
        <v>1143</v>
      </c>
      <c r="C323" s="2" t="s">
        <v>1183</v>
      </c>
      <c r="D323" s="2" t="s">
        <v>1089</v>
      </c>
      <c r="E323" s="9">
        <v>20</v>
      </c>
      <c r="G323" s="9"/>
      <c r="I323" s="14" t="s">
        <v>1686</v>
      </c>
      <c r="J323" s="14" t="s">
        <v>1687</v>
      </c>
      <c r="K323" s="8" t="s">
        <v>1386</v>
      </c>
    </row>
    <row r="324" s="2" customFormat="1" ht="14" customHeight="1" spans="1:11">
      <c r="A324" s="13">
        <v>46314</v>
      </c>
      <c r="B324" s="2" t="s">
        <v>1143</v>
      </c>
      <c r="C324" s="2" t="s">
        <v>1183</v>
      </c>
      <c r="D324" s="2" t="s">
        <v>1089</v>
      </c>
      <c r="E324" s="9">
        <v>20</v>
      </c>
      <c r="G324" s="9"/>
      <c r="I324" s="14" t="s">
        <v>1688</v>
      </c>
      <c r="J324" s="14" t="s">
        <v>1689</v>
      </c>
      <c r="K324" s="8" t="s">
        <v>1386</v>
      </c>
    </row>
    <row r="325" s="2" customFormat="1" ht="14" customHeight="1" spans="1:11">
      <c r="A325" s="13">
        <v>46314</v>
      </c>
      <c r="B325" s="2" t="s">
        <v>1143</v>
      </c>
      <c r="C325" s="2" t="s">
        <v>1183</v>
      </c>
      <c r="D325" s="2" t="s">
        <v>1089</v>
      </c>
      <c r="E325" s="9">
        <v>20</v>
      </c>
      <c r="G325" s="9"/>
      <c r="I325" s="14" t="s">
        <v>1690</v>
      </c>
      <c r="J325" s="14" t="s">
        <v>1691</v>
      </c>
      <c r="K325" s="8" t="s">
        <v>1386</v>
      </c>
    </row>
    <row r="326" s="2" customFormat="1" ht="14" customHeight="1" spans="1:11">
      <c r="A326" s="13">
        <v>46314</v>
      </c>
      <c r="B326" s="2" t="s">
        <v>1143</v>
      </c>
      <c r="C326" s="2" t="s">
        <v>1183</v>
      </c>
      <c r="D326" s="2" t="s">
        <v>1089</v>
      </c>
      <c r="E326" s="9">
        <v>20</v>
      </c>
      <c r="G326" s="9"/>
      <c r="I326" s="14" t="s">
        <v>1692</v>
      </c>
      <c r="J326" s="14" t="s">
        <v>1693</v>
      </c>
      <c r="K326" s="8" t="s">
        <v>1386</v>
      </c>
    </row>
    <row r="327" s="2" customFormat="1" ht="14" customHeight="1" spans="1:11">
      <c r="A327" s="13">
        <v>46315</v>
      </c>
      <c r="B327" s="2" t="s">
        <v>1176</v>
      </c>
      <c r="C327" s="2" t="s">
        <v>1640</v>
      </c>
      <c r="D327" s="2" t="s">
        <v>1413</v>
      </c>
      <c r="E327" s="9">
        <v>27.5</v>
      </c>
      <c r="G327" s="9"/>
      <c r="I327" s="14" t="s">
        <v>1694</v>
      </c>
      <c r="J327" s="14" t="s">
        <v>1695</v>
      </c>
      <c r="K327" s="8" t="s">
        <v>1386</v>
      </c>
    </row>
    <row r="328" s="2" customFormat="1" ht="14" customHeight="1" spans="1:11">
      <c r="A328" s="13">
        <v>46315</v>
      </c>
      <c r="B328" s="2" t="s">
        <v>1176</v>
      </c>
      <c r="C328" s="2" t="s">
        <v>1640</v>
      </c>
      <c r="D328" s="2" t="s">
        <v>1413</v>
      </c>
      <c r="E328" s="9">
        <v>27.5</v>
      </c>
      <c r="G328" s="9"/>
      <c r="I328" s="14" t="s">
        <v>1696</v>
      </c>
      <c r="J328" s="14" t="s">
        <v>1697</v>
      </c>
      <c r="K328" s="8" t="s">
        <v>1386</v>
      </c>
    </row>
    <row r="329" s="2" customFormat="1" ht="14" customHeight="1" spans="1:11">
      <c r="A329" s="13">
        <v>46315</v>
      </c>
      <c r="B329" s="2" t="s">
        <v>1176</v>
      </c>
      <c r="C329" s="2" t="s">
        <v>1678</v>
      </c>
      <c r="D329" s="2" t="s">
        <v>1413</v>
      </c>
      <c r="E329" s="9">
        <v>27.5</v>
      </c>
      <c r="G329" s="9"/>
      <c r="I329" s="14" t="s">
        <v>1698</v>
      </c>
      <c r="J329" s="14" t="s">
        <v>1699</v>
      </c>
      <c r="K329" s="8" t="s">
        <v>1386</v>
      </c>
    </row>
    <row r="330" s="2" customFormat="1" ht="14" customHeight="1" spans="1:11">
      <c r="A330" s="13">
        <v>46315</v>
      </c>
      <c r="B330" s="2" t="s">
        <v>1143</v>
      </c>
      <c r="C330" s="2" t="s">
        <v>1183</v>
      </c>
      <c r="D330" s="2" t="s">
        <v>1086</v>
      </c>
      <c r="E330" s="9">
        <v>20</v>
      </c>
      <c r="G330" s="9"/>
      <c r="I330" s="14" t="s">
        <v>1700</v>
      </c>
      <c r="J330" s="14" t="s">
        <v>1701</v>
      </c>
      <c r="K330" s="8" t="s">
        <v>1386</v>
      </c>
    </row>
    <row r="331" s="2" customFormat="1" ht="14" customHeight="1" spans="1:11">
      <c r="A331" s="13">
        <v>46315</v>
      </c>
      <c r="B331" s="2" t="s">
        <v>1143</v>
      </c>
      <c r="C331" s="2" t="s">
        <v>1183</v>
      </c>
      <c r="D331" s="2" t="s">
        <v>1086</v>
      </c>
      <c r="E331" s="9">
        <v>20</v>
      </c>
      <c r="G331" s="9"/>
      <c r="I331" s="14" t="s">
        <v>1702</v>
      </c>
      <c r="J331" s="14" t="s">
        <v>1703</v>
      </c>
      <c r="K331" s="8" t="s">
        <v>1386</v>
      </c>
    </row>
    <row r="332" s="2" customFormat="1" ht="14" customHeight="1" spans="1:11">
      <c r="A332" s="13">
        <v>46315</v>
      </c>
      <c r="B332" s="2" t="s">
        <v>1143</v>
      </c>
      <c r="C332" s="2" t="s">
        <v>1183</v>
      </c>
      <c r="D332" s="2" t="s">
        <v>1086</v>
      </c>
      <c r="E332" s="9">
        <v>20</v>
      </c>
      <c r="G332" s="9"/>
      <c r="I332" s="14" t="s">
        <v>1704</v>
      </c>
      <c r="J332" s="14" t="s">
        <v>1705</v>
      </c>
      <c r="K332" s="8" t="s">
        <v>1386</v>
      </c>
    </row>
    <row r="333" s="3" customFormat="1" ht="14" customHeight="1" spans="1:11">
      <c r="A333" s="20">
        <v>46316</v>
      </c>
      <c r="B333" s="3" t="s">
        <v>1176</v>
      </c>
      <c r="C333" s="3" t="s">
        <v>1678</v>
      </c>
      <c r="D333" s="3" t="s">
        <v>1413</v>
      </c>
      <c r="E333" s="21">
        <v>27.5</v>
      </c>
      <c r="G333" s="21"/>
      <c r="I333" s="40"/>
      <c r="J333" s="40" t="s">
        <v>1684</v>
      </c>
      <c r="K333" s="41" t="s">
        <v>1386</v>
      </c>
    </row>
    <row r="334" s="3" customFormat="1" ht="14" customHeight="1" spans="1:11">
      <c r="A334" s="20">
        <v>46316</v>
      </c>
      <c r="B334" s="3" t="s">
        <v>1176</v>
      </c>
      <c r="C334" s="3" t="s">
        <v>1678</v>
      </c>
      <c r="D334" s="3" t="s">
        <v>1413</v>
      </c>
      <c r="E334" s="21">
        <v>27.5</v>
      </c>
      <c r="G334" s="21"/>
      <c r="I334" s="40"/>
      <c r="J334" s="40" t="s">
        <v>1706</v>
      </c>
      <c r="K334" s="41" t="s">
        <v>1386</v>
      </c>
    </row>
    <row r="335" s="3" customFormat="1" ht="14" customHeight="1" spans="1:11">
      <c r="A335" s="20">
        <v>46316</v>
      </c>
      <c r="B335" s="3" t="s">
        <v>1176</v>
      </c>
      <c r="C335" s="3" t="s">
        <v>1678</v>
      </c>
      <c r="D335" s="3" t="s">
        <v>1413</v>
      </c>
      <c r="E335" s="21">
        <v>27.5</v>
      </c>
      <c r="G335" s="21"/>
      <c r="I335" s="40"/>
      <c r="J335" s="40" t="s">
        <v>1707</v>
      </c>
      <c r="K335" s="41" t="s">
        <v>1386</v>
      </c>
    </row>
    <row r="336" s="3" customFormat="1" ht="14" customHeight="1" spans="1:11">
      <c r="A336" s="20">
        <v>46316</v>
      </c>
      <c r="B336" s="2" t="s">
        <v>1143</v>
      </c>
      <c r="C336" s="2" t="s">
        <v>1183</v>
      </c>
      <c r="D336" s="2" t="s">
        <v>1086</v>
      </c>
      <c r="E336" s="9">
        <v>20</v>
      </c>
      <c r="G336" s="21"/>
      <c r="I336" s="40" t="s">
        <v>1708</v>
      </c>
      <c r="J336" s="40" t="s">
        <v>1709</v>
      </c>
      <c r="K336" s="41" t="s">
        <v>1386</v>
      </c>
    </row>
    <row r="337" s="3" customFormat="1" ht="14" customHeight="1" spans="1:11">
      <c r="A337" s="20">
        <v>46316</v>
      </c>
      <c r="B337" s="2" t="s">
        <v>1143</v>
      </c>
      <c r="C337" s="2" t="s">
        <v>1183</v>
      </c>
      <c r="D337" s="2" t="s">
        <v>1086</v>
      </c>
      <c r="E337" s="9">
        <v>20</v>
      </c>
      <c r="G337" s="21"/>
      <c r="I337" s="40" t="s">
        <v>1710</v>
      </c>
      <c r="J337" s="40" t="s">
        <v>1711</v>
      </c>
      <c r="K337" s="41" t="s">
        <v>1386</v>
      </c>
    </row>
    <row r="338" s="3" customFormat="1" ht="14" customHeight="1" spans="1:11">
      <c r="A338" s="20">
        <v>46316</v>
      </c>
      <c r="B338" s="2" t="s">
        <v>1143</v>
      </c>
      <c r="C338" s="2" t="s">
        <v>1183</v>
      </c>
      <c r="D338" s="2" t="s">
        <v>1086</v>
      </c>
      <c r="E338" s="9">
        <v>20</v>
      </c>
      <c r="G338" s="21"/>
      <c r="I338" s="40" t="s">
        <v>1712</v>
      </c>
      <c r="J338" s="40" t="s">
        <v>1713</v>
      </c>
      <c r="K338" s="41" t="s">
        <v>1386</v>
      </c>
    </row>
  </sheetData>
  <autoFilter xmlns:etc="http://www.wps.cn/officeDocument/2017/etCustomData" ref="A1:K338" etc:filterBottomFollowUsedRange="0">
    <extLst/>
  </autoFilter>
  <mergeCells count="16">
    <mergeCell ref="G3:G4"/>
    <mergeCell ref="H8:H9"/>
    <mergeCell ref="I152:I153"/>
    <mergeCell ref="I291:I292"/>
    <mergeCell ref="J3:J4"/>
    <mergeCell ref="J50:J53"/>
    <mergeCell ref="J125:J128"/>
    <mergeCell ref="J138:J139"/>
    <mergeCell ref="J140:J141"/>
    <mergeCell ref="J152:J153"/>
    <mergeCell ref="J291:J292"/>
    <mergeCell ref="K3:K4"/>
    <mergeCell ref="K125:K128"/>
    <mergeCell ref="K138:K139"/>
    <mergeCell ref="K140:K141"/>
    <mergeCell ref="K291:K29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高科对内</vt:lpstr>
      <vt:lpstr>高科对外</vt:lpstr>
      <vt:lpstr>高科收款</vt:lpstr>
      <vt:lpstr>高科出库</vt:lpstr>
      <vt:lpstr>生物</vt:lpstr>
      <vt:lpstr>生物收款</vt:lpstr>
      <vt:lpstr>生物出库</vt:lpstr>
      <vt:lpstr>长科</vt:lpstr>
      <vt:lpstr>长科收款</vt:lpstr>
      <vt:lpstr>长科出库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陈诺</dc:creator>
  <cp:lastModifiedBy>大家都是彩虹色✔</cp:lastModifiedBy>
  <dcterms:created xsi:type="dcterms:W3CDTF">2023-05-12T11:15:00Z</dcterms:created>
  <dcterms:modified xsi:type="dcterms:W3CDTF">2026-10-22T09:00:29Z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BFA2B7B5839F43E298403DA3F2BBEE49_13</vt:lpwstr>
  </property>
  <property fmtid="{D5CDD505-2E9C-101B-9397-08002B2CF9AE}" pid="4" name="KSOReadingLayout">
    <vt:bool>true</vt:bool>
  </property>
</Properties>
</file>